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0d5e8c0ae42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a32ccd7f607497d"/>
    <x:sheet xmlns:r="http://schemas.openxmlformats.org/officeDocument/2006/relationships" name="Compte_Resultat" sheetId="2" r:id="R4544a1981d4e4632"/>
    <x:sheet xmlns:r="http://schemas.openxmlformats.org/officeDocument/2006/relationships" name="Budget_Realise" sheetId="3" r:id="R5f80257605b6431b"/>
    <x:sheet xmlns:r="http://schemas.openxmlformats.org/officeDocument/2006/relationships" name="Tresorerie" sheetId="4" r:id="Rdcab77c5e0cf46b2"/>
    <x:sheet xmlns:r="http://schemas.openxmlformats.org/officeDocument/2006/relationships" name="Charges_Detail" sheetId="5" r:id="Rf068959a31a54e97"/>
    <x:sheet xmlns:r="http://schemas.openxmlformats.org/officeDocument/2006/relationships" name="Hypotheses" sheetId="6" r:id="R11a2bf9a593d4107"/>
    <x:sheet xmlns:r="http://schemas.openxmlformats.org/officeDocument/2006/relationships" name="Controles" sheetId="7" r:id="R0514e787652646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 &quot;€&quot;;[Red]-#,##0 &quot;€&quot;;-"/>
    <x:numFmt numFmtId="201" formatCode="0.0%;[Red]-0.0%;-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A5C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A5C"/>
      </x:patternFill>
    </x:fill>
    <x:fill>
      <x:patternFill patternType="solid">
        <x:fgColor rgb="FFEFF8FF"/>
      </x:patternFill>
    </x:fill>
  </x:fills>
  <x:borders count="2">
    <x:border/>
    <x:border>
      <x:left style="thin">
        <x:color rgb="FFDDE5EF"/>
      </x:left>
      <x:right style="thin">
        <x:color rgb="FFDDE5EF"/>
      </x:right>
      <x:top style="thin">
        <x:color rgb="FFDDE5EF"/>
      </x:top>
      <x:bottom style="thin">
        <x:color rgb="FFDDE5E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bfaaa2c2a6442c" /><Relationship Type="http://schemas.openxmlformats.org/officeDocument/2006/relationships/theme" Target="/xl/theme/theme1.xml" Id="R78ecfc94b87847fd" /><Relationship Type="http://schemas.openxmlformats.org/officeDocument/2006/relationships/sharedStrings" Target="/xl/sharedStrings.xml" Id="Rd79b7a520862483e" /><Relationship Type="http://schemas.openxmlformats.org/officeDocument/2006/relationships/worksheet" Target="/xl/worksheets/sheet1.xml" Id="R0a32ccd7f607497d" /><Relationship Type="http://schemas.openxmlformats.org/officeDocument/2006/relationships/worksheet" Target="/xl/worksheets/sheet2.xml" Id="R4544a1981d4e4632" /><Relationship Type="http://schemas.openxmlformats.org/officeDocument/2006/relationships/worksheet" Target="/xl/worksheets/sheet3.xml" Id="R5f80257605b6431b" /><Relationship Type="http://schemas.openxmlformats.org/officeDocument/2006/relationships/worksheet" Target="/xl/worksheets/sheet4.xml" Id="Rdcab77c5e0cf46b2" /><Relationship Type="http://schemas.openxmlformats.org/officeDocument/2006/relationships/worksheet" Target="/xl/worksheets/sheet5.xml" Id="Rf068959a31a54e97" /><Relationship Type="http://schemas.openxmlformats.org/officeDocument/2006/relationships/worksheet" Target="/xl/worksheets/sheet6.xml" Id="R11a2bf9a593d4107" /><Relationship Type="http://schemas.openxmlformats.org/officeDocument/2006/relationships/worksheet" Target="/xl/worksheets/sheet7.xml" Id="R0514e787652646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164c78ae9e4fa0" /><Relationship Type="http://schemas.openxmlformats.org/officeDocument/2006/relationships/chart" Target="/xl/drawings/charts/chart2.xml" Id="R97f07b64f8744d0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Produits vs charges mensuels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Total produits</c:v>
          </c:tx>
          <c:cat>
            <c:strRef>
              <c:f>'Dashboard'!$D$5:$D$16</c:f>
              <c:strCache>
                <c:ptCount val="0"/>
              </c:strCache>
            </c:strRef>
          </c:cat>
          <c:val>
            <c:numRef>
              <c:f>'Dashboard'!$E$5:$E$16</c:f>
              <c:numCache>
                <c:formatCode>#,##0 "€";[Red]-#,##0 "€";-</c:formatCode>
                <c:ptCount val="0"/>
              </c:numCache>
            </c:numRef>
          </c:val>
          <c:smooth val="0"/>
        </c:ser>
        <c:ser>
          <c:idx val="1"/>
          <c:order val="1"/>
          <c:tx>
            <c:v>Total charges</c:v>
          </c:tx>
          <c:cat>
            <c:strRef>
              <c:f>'Dashboard'!$D$5:$D$16</c:f>
              <c:strCache>
                <c:ptCount val="0"/>
              </c:strCache>
            </c:strRef>
          </c:cat>
          <c:val>
            <c:numRef>
              <c:f>'Dashboard'!$F$5:$F$16</c:f>
              <c:numCache>
                <c:formatCode>#,##0 "€";[Red]-#,##0 "€";-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 &quot;€&quot;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Résultat net mensuel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Résultat net</c:v>
          </c:tx>
          <c:cat>
            <c:strRef>
              <c:f>'Dashboard'!$S$5:$S$16</c:f>
              <c:strCache>
                <c:ptCount val="0"/>
              </c:strCache>
            </c:strRef>
          </c:cat>
          <c:val>
            <c:numRef>
              <c:f>'Dashboard'!$T$5:$T$16</c:f>
              <c:numCache>
                <c:formatCode>#,##0 "€"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 &quot;€&quot;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164c78ae9e4fa0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f07b64f8744d0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CompteResultat" displayName="tblCompteResultat" ref="A4:Q16" headerRowCount="1">
  <x:tableColumns count="17">
    <x:tableColumn id="1" name="Mois"/>
    <x:tableColumn id="2" name="CA services"/>
    <x:tableColumn id="3" name="CA récurrent"/>
    <x:tableColumn id="4" name="Autres produits"/>
    <x:tableColumn id="5" name="Total produits"/>
    <x:tableColumn id="6" name="Achats/prestataires"/>
    <x:tableColumn id="7" name="Salaires"/>
    <x:tableColumn id="8" name="Marketing"/>
    <x:tableColumn id="9" name="Loyer"/>
    <x:tableColumn id="10" name="Logiciels"/>
    <x:tableColumn id="11" name="Frais bancaires"/>
    <x:tableColumn id="12" name="Total charges"/>
    <x:tableColumn id="13" name="Résultat opérationnel"/>
    <x:tableColumn id="14" name="Marge opérationnelle"/>
    <x:tableColumn id="15" name="Impôt estimé"/>
    <x:tableColumn id="16" name="Résultat net"/>
    <x:tableColumn id="17" name="Commentaire"/>
  </x:tableColumns>
  <x:tableStyleInfo name="TableStyleMedium2" showRowStripes="1"/>
</x:table>
</file>

<file path=xl/tables/table2.xml><?xml version="1.0" encoding="utf-8"?>
<x:table xmlns:x="http://schemas.openxmlformats.org/spreadsheetml/2006/main" id="2" name="tblBudgetRealise" displayName="tblBudgetRealise" ref="A4:K16" headerRowCount="1">
  <x:tableColumns count="11">
    <x:tableColumn id="1" name="Mois"/>
    <x:tableColumn id="2" name="Budget produits"/>
    <x:tableColumn id="3" name="Réel produits"/>
    <x:tableColumn id="4" name="Écart produits"/>
    <x:tableColumn id="5" name="Budget charges"/>
    <x:tableColumn id="6" name="Réel charges"/>
    <x:tableColumn id="7" name="Écart charges"/>
    <x:tableColumn id="8" name="Budget résultat"/>
    <x:tableColumn id="9" name="Réel résultat"/>
    <x:tableColumn id="10" name="Écart résultat"/>
    <x:tableColumn id="11" name="Commentaire"/>
  </x:tableColumns>
  <x:tableStyleInfo name="TableStyleMedium2" showRowStripes="1"/>
</x:table>
</file>

<file path=xl/tables/table3.xml><?xml version="1.0" encoding="utf-8"?>
<x:table xmlns:x="http://schemas.openxmlformats.org/spreadsheetml/2006/main" id="3" name="tblTresorerie" displayName="tblTresorerie" ref="A4:H16" headerRowCount="1">
  <x:tableColumns count="8">
    <x:tableColumn id="1" name="Mois"/>
    <x:tableColumn id="2" name="Solde ouverture"/>
    <x:tableColumn id="3" name="Encaissements"/>
    <x:tableColumn id="4" name="Décaissements"/>
    <x:tableColumn id="5" name="Investissements"/>
    <x:tableColumn id="6" name="Remboursement prêt"/>
    <x:tableColumn id="7" name="Solde clôture"/>
    <x:tableColumn id="8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tblChargesDetail" displayName="tblChargesDetail" ref="A4:E76" headerRowCount="1">
  <x:tableColumns count="5">
    <x:tableColumn id="1" name="Mois"/>
    <x:tableColumn id="2" name="Catégorie"/>
    <x:tableColumn id="3" name="Montant"/>
    <x:tableColumn id="4" name="Type"/>
    <x:tableColumn id="5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08b5f12cc6846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d592aa9e184f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8faa980e7e43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9db4fe21054e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2972b702d0434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1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4" customHeight="1">
      <x:c r="A1" s="12" t="str">
        <x:v>Tableau de bord financier fictif</x:v>
      </x:c>
      <x:c r="B1" s="12" t="str"/>
      <x:c r="C1" s="12" t="str"/>
      <x:c r="D1" s="12" t="str"/>
      <x:c r="E1" s="12" t="str"/>
      <x:c r="F1" s="12" t="str"/>
      <x:c r="G1" s="12" t="str"/>
      <x:c r="H1" s="12" t="str"/>
      <x:c r="I1" s="13"/>
      <x:c r="J1" s="13"/>
      <x:c r="K1" s="13"/>
      <x:c r="L1" s="13"/>
      <x:c r="M1" s="13"/>
      <x:c r="N1" s="13"/>
      <x:c r="O1" s="13"/>
      <x:c r="P1" s="13"/>
      <x:c r="Q1" s="13"/>
    </x:row>
    <x:row r="2" ht="20" customHeight="1">
      <x:c r="A2" s="14" t="str">
        <x:v>Synthèse générée dans le classeur pour valider un prompt Codex d’analyse Excel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3"/>
      <x:c r="J2" s="13"/>
      <x:c r="K2" s="13"/>
      <x:c r="L2" s="13"/>
      <x:c r="M2" s="13"/>
      <x:c r="N2" s="13"/>
      <x:c r="O2" s="13"/>
      <x:c r="P2" s="13"/>
      <x:c r="Q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</x:row>
    <x:row r="4">
      <x:c r="A4" s="15" t="str">
        <x:v>Indicateur</x:v>
      </x:c>
      <x:c r="B4" s="15" t="str">
        <x:v>Valeur</x:v>
      </x:c>
      <x:c r="C4" s="13"/>
      <x:c r="D4" s="15" t="str">
        <x:v>Mois</x:v>
      </x:c>
      <x:c r="E4" s="15" t="str">
        <x:v>Total produits</x:v>
      </x:c>
      <x:c r="F4" s="15" t="str">
        <x:v>Total charges</x:v>
      </x:c>
      <x:c r="G4" s="15" t="str">
        <x:v>Résultat net</x:v>
      </x:c>
      <x:c r="H4" s="15" t="str">
        <x:v>Budget produits</x:v>
      </x:c>
      <x:c r="I4" s="13"/>
      <x:c r="J4" s="13"/>
      <x:c r="K4" s="13"/>
      <x:c r="L4" s="13"/>
      <x:c r="M4" s="13"/>
      <x:c r="N4" s="13"/>
      <x:c r="O4" s="13"/>
      <x:c r="P4" s="13"/>
      <x:c r="Q4" s="13"/>
      <x:c r="S4" t="str">
        <x:v>Mois</x:v>
      </x:c>
      <x:c r="T4" t="str">
        <x:v>Résultat net</x:v>
      </x:c>
    </x:row>
    <x:row r="5">
      <x:c r="A5" s="16" t="str">
        <x:v>Total produits</x:v>
      </x:c>
      <x:c r="B5" s="17" t="n">
        <x:f>SUM(Compte_Resultat!E5:E16)</x:f>
        <x:v>1546100</x:v>
      </x:c>
      <x:c r="C5" s="13"/>
      <x:c r="D5" s="16" t="str">
        <x:v>Jan 2025</x:v>
      </x:c>
      <x:c r="E5" s="17" t="n">
        <x:f>Compte_Resultat!E5</x:f>
        <x:v>107500</x:v>
      </x:c>
      <x:c r="F5" s="17" t="n">
        <x:f>Compte_Resultat!L5</x:f>
        <x:v>86350</x:v>
      </x:c>
      <x:c r="G5" s="17" t="n">
        <x:f>Compte_Resultat!P5</x:f>
        <x:v>16920</x:v>
      </x:c>
      <x:c r="H5" s="17" t="n">
        <x:f>Budget_Realise!B5</x:f>
        <x:v>105000</x:v>
      </x:c>
      <x:c r="I5" s="13"/>
      <x:c r="J5" s="13"/>
      <x:c r="K5" s="13"/>
      <x:c r="L5" s="13"/>
      <x:c r="M5" s="13"/>
      <x:c r="N5" s="13"/>
      <x:c r="O5" s="13"/>
      <x:c r="P5" s="13"/>
      <x:c r="Q5" s="13"/>
      <x:c r="S5" t="str">
        <x:v>Jan 2025</x:v>
      </x:c>
      <x:c r="T5" t="n">
        <x:f>G5</x:f>
        <x:v>16920</x:v>
      </x:c>
    </x:row>
    <x:row r="6">
      <x:c r="A6" s="16" t="str">
        <x:v>Total charges</x:v>
      </x:c>
      <x:c r="B6" s="17" t="n">
        <x:f>SUM(Compte_Resultat!L5:L16)</x:f>
        <x:v>1188200</x:v>
      </x:c>
      <x:c r="C6" s="13"/>
      <x:c r="D6" s="16" t="str">
        <x:v>Fév 2025</x:v>
      </x:c>
      <x:c r="E6" s="17" t="n">
        <x:f>Compte_Resultat!E6</x:f>
        <x:v>109500</x:v>
      </x:c>
      <x:c r="F6" s="17" t="n">
        <x:f>Compte_Resultat!L6</x:f>
        <x:v>86860</x:v>
      </x:c>
      <x:c r="G6" s="17" t="n">
        <x:f>Compte_Resultat!P6</x:f>
        <x:v>18112</x:v>
      </x:c>
      <x:c r="H6" s="17" t="n">
        <x:f>Budget_Realise!B6</x:f>
        <x:v>108000</x:v>
      </x:c>
      <x:c r="I6" s="13"/>
      <x:c r="J6" s="13"/>
      <x:c r="K6" s="13"/>
      <x:c r="L6" s="13"/>
      <x:c r="M6" s="13"/>
      <x:c r="N6" s="13"/>
      <x:c r="O6" s="13"/>
      <x:c r="P6" s="13"/>
      <x:c r="Q6" s="13"/>
      <x:c r="S6" t="str">
        <x:v>Fév 2025</x:v>
      </x:c>
      <x:c r="T6" t="n">
        <x:f>G6</x:f>
        <x:v>18112</x:v>
      </x:c>
    </x:row>
    <x:row r="7">
      <x:c r="A7" s="16" t="str">
        <x:v>Résultat net annuel</x:v>
      </x:c>
      <x:c r="B7" s="17" t="n">
        <x:f>SUM(Compte_Resultat!P5:P16)</x:f>
        <x:v>286320</x:v>
      </x:c>
      <x:c r="C7" s="13"/>
      <x:c r="D7" s="16" t="str">
        <x:v>Mar 2025</x:v>
      </x:c>
      <x:c r="E7" s="17" t="n">
        <x:f>Compte_Resultat!E7</x:f>
        <x:v>120600</x:v>
      </x:c>
      <x:c r="F7" s="17" t="n">
        <x:f>Compte_Resultat!L7</x:f>
        <x:v>90880</x:v>
      </x:c>
      <x:c r="G7" s="17" t="n">
        <x:f>Compte_Resultat!P7</x:f>
        <x:v>23776</x:v>
      </x:c>
      <x:c r="H7" s="17" t="n">
        <x:f>Budget_Realise!B7</x:f>
        <x:v>112000</x:v>
      </x:c>
      <x:c r="I7" s="13"/>
      <x:c r="J7" s="13"/>
      <x:c r="K7" s="13"/>
      <x:c r="L7" s="13"/>
      <x:c r="M7" s="13"/>
      <x:c r="N7" s="13"/>
      <x:c r="O7" s="13"/>
      <x:c r="P7" s="13"/>
      <x:c r="Q7" s="13"/>
      <x:c r="S7" t="str">
        <x:v>Mar 2025</x:v>
      </x:c>
      <x:c r="T7" t="n">
        <x:f>G7</x:f>
        <x:v>23776</x:v>
      </x:c>
    </x:row>
    <x:row r="8">
      <x:c r="A8" s="16" t="str">
        <x:v>Marge opérationnelle moyenne</x:v>
      </x:c>
      <x:c r="B8" s="18" t="n">
        <x:f>AVERAGE(Compte_Resultat!N5:N16)</x:f>
        <x:v>0.22266131972591616</x:v>
      </x:c>
      <x:c r="C8" s="13"/>
      <x:c r="D8" s="16" t="str">
        <x:v>Avr 2025</x:v>
      </x:c>
      <x:c r="E8" s="17" t="n">
        <x:f>Compte_Resultat!E8</x:f>
        <x:v>101600</x:v>
      </x:c>
      <x:c r="F8" s="17" t="n">
        <x:f>Compte_Resultat!L8</x:f>
        <x:v>87430</x:v>
      </x:c>
      <x:c r="G8" s="17" t="n">
        <x:f>Compte_Resultat!P8</x:f>
        <x:v>11336</x:v>
      </x:c>
      <x:c r="H8" s="17" t="n">
        <x:f>Budget_Realise!B8</x:f>
        <x:v>116000</x:v>
      </x:c>
      <x:c r="I8" s="13"/>
      <x:c r="J8" s="13"/>
      <x:c r="K8" s="13"/>
      <x:c r="L8" s="13"/>
      <x:c r="M8" s="13"/>
      <x:c r="N8" s="13"/>
      <x:c r="O8" s="13"/>
      <x:c r="P8" s="13"/>
      <x:c r="Q8" s="13"/>
      <x:c r="S8" t="str">
        <x:v>Avr 2025</x:v>
      </x:c>
      <x:c r="T8" t="n">
        <x:f>G8</x:f>
        <x:v>11336</x:v>
      </x:c>
    </x:row>
    <x:row r="9">
      <x:c r="A9" s="16" t="str">
        <x:v>Solde de trésorerie final</x:v>
      </x:c>
      <x:c r="B9" s="17" t="n">
        <x:f>Tresorerie!G16</x:f>
        <x:v>284600</x:v>
      </x:c>
      <x:c r="C9" s="13"/>
      <x:c r="D9" s="16" t="str">
        <x:v>Mai 2025</x:v>
      </x:c>
      <x:c r="E9" s="17" t="n">
        <x:f>Compte_Resultat!E9</x:f>
        <x:v>127200</x:v>
      </x:c>
      <x:c r="F9" s="17" t="n">
        <x:f>Compte_Resultat!L9</x:f>
        <x:v>94860</x:v>
      </x:c>
      <x:c r="G9" s="17" t="n">
        <x:f>Compte_Resultat!P9</x:f>
        <x:v>25872</x:v>
      </x:c>
      <x:c r="H9" s="17" t="n">
        <x:f>Budget_Realise!B9</x:f>
        <x:v>121000</x:v>
      </x:c>
      <x:c r="I9" s="13"/>
      <x:c r="J9" s="13"/>
      <x:c r="K9" s="13"/>
      <x:c r="L9" s="13"/>
      <x:c r="M9" s="13"/>
      <x:c r="N9" s="13"/>
      <x:c r="O9" s="13"/>
      <x:c r="P9" s="13"/>
      <x:c r="Q9" s="13"/>
      <x:c r="S9" t="str">
        <x:v>Mai 2025</x:v>
      </x:c>
      <x:c r="T9" t="n">
        <x:f>G9</x:f>
        <x:v>25872</x:v>
      </x:c>
    </x:row>
    <x:row r="10">
      <x:c r="A10" s="13"/>
      <x:c r="B10" s="13"/>
      <x:c r="C10" s="13"/>
      <x:c r="D10" s="16" t="str">
        <x:v>Juin 2025</x:v>
      </x:c>
      <x:c r="E10" s="17" t="n">
        <x:f>Compte_Resultat!E10</x:f>
        <x:v>135800</x:v>
      </x:c>
      <x:c r="F10" s="17" t="n">
        <x:f>Compte_Resultat!L10</x:f>
        <x:v>112380</x:v>
      </x:c>
      <x:c r="G10" s="17" t="n">
        <x:f>Compte_Resultat!P10</x:f>
        <x:v>18736</x:v>
      </x:c>
      <x:c r="H10" s="17" t="n">
        <x:f>Budget_Realise!B10</x:f>
        <x:v>126000</x:v>
      </x:c>
      <x:c r="I10" s="13"/>
      <x:c r="J10" s="13"/>
      <x:c r="K10" s="13"/>
      <x:c r="L10" s="13"/>
      <x:c r="M10" s="13"/>
      <x:c r="N10" s="13"/>
      <x:c r="O10" s="13"/>
      <x:c r="P10" s="13"/>
      <x:c r="Q10" s="13"/>
      <x:c r="S10" t="str">
        <x:v>Juin 2025</x:v>
      </x:c>
      <x:c r="T10" t="n">
        <x:f>G10</x:f>
        <x:v>18736</x:v>
      </x:c>
    </x:row>
    <x:row r="11">
      <x:c r="A11" s="13"/>
      <x:c r="B11" s="13"/>
      <x:c r="C11" s="13"/>
      <x:c r="D11" s="16" t="str">
        <x:v>Juil 2025</x:v>
      </x:c>
      <x:c r="E11" s="17" t="n">
        <x:f>Compte_Resultat!E11</x:f>
        <x:v>133500</x:v>
      </x:c>
      <x:c r="F11" s="17" t="n">
        <x:f>Compte_Resultat!L11</x:f>
        <x:v>98110</x:v>
      </x:c>
      <x:c r="G11" s="17" t="n">
        <x:f>Compte_Resultat!P11</x:f>
        <x:v>28312</x:v>
      </x:c>
      <x:c r="H11" s="17" t="n">
        <x:f>Budget_Realise!B11</x:f>
        <x:v>128000</x:v>
      </x:c>
      <x:c r="I11" s="13"/>
      <x:c r="J11" s="13"/>
      <x:c r="K11" s="13"/>
      <x:c r="L11" s="13"/>
      <x:c r="M11" s="13"/>
      <x:c r="N11" s="13"/>
      <x:c r="O11" s="13"/>
      <x:c r="P11" s="13"/>
      <x:c r="Q11" s="13"/>
      <x:c r="S11" t="str">
        <x:v>Juil 2025</x:v>
      </x:c>
      <x:c r="T11" t="n">
        <x:f>G11</x:f>
        <x:v>28312</x:v>
      </x:c>
    </x:row>
    <x:row r="12">
      <x:c r="A12" s="15" t="str">
        <x:v>Points d’attention</x:v>
      </x:c>
      <x:c r="B12" s="15" t="str">
        <x:v>Description</x:v>
      </x:c>
      <x:c r="C12" s="13"/>
      <x:c r="D12" s="16" t="str">
        <x:v>Août 2025</x:v>
      </x:c>
      <x:c r="E12" s="17" t="n">
        <x:f>Compte_Resultat!E12</x:f>
        <x:v>92800</x:v>
      </x:c>
      <x:c r="F12" s="17" t="n">
        <x:f>Compte_Resultat!L12</x:f>
        <x:v>84140</x:v>
      </x:c>
      <x:c r="G12" s="17" t="n">
        <x:f>Compte_Resultat!P12</x:f>
        <x:v>6928</x:v>
      </x:c>
      <x:c r="H12" s="17" t="n">
        <x:f>Budget_Realise!B12</x:f>
        <x:v>101000</x:v>
      </x:c>
      <x:c r="I12" s="13"/>
      <x:c r="J12" s="13"/>
      <x:c r="K12" s="13"/>
      <x:c r="L12" s="13"/>
      <x:c r="M12" s="13"/>
      <x:c r="N12" s="13"/>
      <x:c r="O12" s="13"/>
      <x:c r="P12" s="13"/>
      <x:c r="Q12" s="13"/>
      <x:c r="S12" t="str">
        <x:v>Août 2025</x:v>
      </x:c>
      <x:c r="T12" t="n">
        <x:f>G12</x:f>
        <x:v>6928</x:v>
      </x:c>
    </x:row>
    <x:row r="13">
      <x:c r="A13" s="16" t="str">
        <x:v>Juin</x:v>
      </x:c>
      <x:c r="B13" s="16" t="str">
        <x:v>Marketing exceptionnel à analyser</x:v>
      </x:c>
      <x:c r="C13" s="13"/>
      <x:c r="D13" s="16" t="str">
        <x:v>Sep 2025</x:v>
      </x:c>
      <x:c r="E13" s="17" t="n">
        <x:f>Compte_Resultat!E13</x:f>
        <x:v>147700</x:v>
      </x:c>
      <x:c r="F13" s="17" t="n">
        <x:f>Compte_Resultat!L13</x:f>
        <x:v>105140</x:v>
      </x:c>
      <x:c r="G13" s="17" t="n">
        <x:f>Compte_Resultat!P13</x:f>
        <x:v>34048</x:v>
      </x:c>
      <x:c r="H13" s="17" t="n">
        <x:f>Budget_Realise!B13</x:f>
        <x:v>133000</x:v>
      </x:c>
      <x:c r="I13" s="13"/>
      <x:c r="J13" s="13"/>
      <x:c r="K13" s="13"/>
      <x:c r="L13" s="13"/>
      <x:c r="M13" s="13"/>
      <x:c r="N13" s="13"/>
      <x:c r="O13" s="13"/>
      <x:c r="P13" s="13"/>
      <x:c r="Q13" s="13"/>
      <x:c r="S13" t="str">
        <x:v>Sep 2025</x:v>
      </x:c>
      <x:c r="T13" t="n">
        <x:f>G13</x:f>
        <x:v>34048</x:v>
      </x:c>
    </x:row>
    <x:row r="14">
      <x:c r="A14" s="16" t="str">
        <x:v>Août</x:v>
      </x:c>
      <x:c r="B14" s="16" t="str">
        <x:v>Creux saisonnier à expliquer</x:v>
      </x:c>
      <x:c r="C14" s="13"/>
      <x:c r="D14" s="16" t="str">
        <x:v>Oct 2025</x:v>
      </x:c>
      <x:c r="E14" s="17" t="n">
        <x:f>Compte_Resultat!E14</x:f>
        <x:v>151500</x:v>
      </x:c>
      <x:c r="F14" s="17" t="n">
        <x:f>Compte_Resultat!L14</x:f>
        <x:v>109420</x:v>
      </x:c>
      <x:c r="G14" s="17" t="n">
        <x:f>Compte_Resultat!P14</x:f>
        <x:v>33664</x:v>
      </x:c>
      <x:c r="H14" s="17" t="n">
        <x:f>Budget_Realise!B14</x:f>
        <x:v>139000</x:v>
      </x:c>
      <x:c r="I14" s="13"/>
      <x:c r="J14" s="13"/>
      <x:c r="K14" s="13"/>
      <x:c r="L14" s="13"/>
      <x:c r="M14" s="13"/>
      <x:c r="N14" s="13"/>
      <x:c r="O14" s="13"/>
      <x:c r="P14" s="13"/>
      <x:c r="Q14" s="13"/>
      <x:c r="S14" t="str">
        <x:v>Oct 2025</x:v>
      </x:c>
      <x:c r="T14" t="n">
        <x:f>G14</x:f>
        <x:v>33664</x:v>
      </x:c>
    </x:row>
    <x:row r="15">
      <x:c r="A15" s="16" t="str">
        <x:v>Septembre</x:v>
      </x:c>
      <x:c r="B15" s="16" t="str">
        <x:v>Encaissements retardés malgré un bon niveau d’activité</x:v>
      </x:c>
      <x:c r="C15" s="13"/>
      <x:c r="D15" s="16" t="str">
        <x:v>Nov 2025</x:v>
      </x:c>
      <x:c r="E15" s="17" t="n">
        <x:f>Compte_Resultat!E15</x:f>
        <x:v>146800</x:v>
      </x:c>
      <x:c r="F15" s="17" t="n">
        <x:f>Compte_Resultat!L15</x:f>
        <x:v>114620</x:v>
      </x:c>
      <x:c r="G15" s="17" t="n">
        <x:f>Compte_Resultat!P15</x:f>
        <x:v>25744</x:v>
      </x:c>
      <x:c r="H15" s="17" t="n">
        <x:f>Budget_Realise!B15</x:f>
        <x:v>142000</x:v>
      </x:c>
      <x:c r="I15" s="13"/>
      <x:c r="J15" s="13"/>
      <x:c r="K15" s="13"/>
      <x:c r="L15" s="13"/>
      <x:c r="M15" s="13"/>
      <x:c r="N15" s="13"/>
      <x:c r="O15" s="13"/>
      <x:c r="P15" s="13"/>
      <x:c r="Q15" s="13"/>
      <x:c r="S15" t="str">
        <x:v>Nov 2025</x:v>
      </x:c>
      <x:c r="T15" t="n">
        <x:f>G15</x:f>
        <x:v>25744</x:v>
      </x:c>
    </x:row>
    <x:row r="16">
      <x:c r="A16" s="16" t="str">
        <x:v>Novembre</x:v>
      </x:c>
      <x:c r="B16" s="16" t="str">
        <x:v>Dépassement de charges marketing</x:v>
      </x:c>
      <x:c r="C16" s="13"/>
      <x:c r="D16" s="16" t="str">
        <x:v>Déc 2025</x:v>
      </x:c>
      <x:c r="E16" s="17" t="n">
        <x:f>Compte_Resultat!E16</x:f>
        <x:v>171600</x:v>
      </x:c>
      <x:c r="F16" s="17" t="n">
        <x:f>Compte_Resultat!L16</x:f>
        <x:v>118010</x:v>
      </x:c>
      <x:c r="G16" s="17" t="n">
        <x:f>Compte_Resultat!P16</x:f>
        <x:v>42872</x:v>
      </x:c>
      <x:c r="H16" s="17" t="n">
        <x:f>Budget_Realise!B16</x:f>
        <x:v>156000</x:v>
      </x:c>
      <x:c r="I16" s="13"/>
      <x:c r="J16" s="13"/>
      <x:c r="K16" s="13"/>
      <x:c r="L16" s="13"/>
      <x:c r="M16" s="13"/>
      <x:c r="N16" s="13"/>
      <x:c r="O16" s="13"/>
      <x:c r="P16" s="13"/>
      <x:c r="Q16" s="13"/>
      <x:c r="S16" t="str">
        <x:v>Déc 2025</x:v>
      </x:c>
      <x:c r="T16" t="n">
        <x:f>G16</x:f>
        <x:v>42872</x:v>
      </x:c>
    </x:row>
    <x:row r="17">
      <x:c r="A17" s="16" t="str">
        <x:v>Source</x:v>
      </x:c>
      <x:c r="B17" s="16" t="str">
        <x:v>Toutes les données sont fictives</x:v>
      </x:c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</x:row>
    <x:row r="18">
      <x:c r="A18" s="16" t="str">
        <x:v>Objectif</x:v>
      </x:c>
      <x:c r="B18" s="16" t="str">
        <x:v>Tester analyse, graphiques et rapport PDF</x:v>
      </x:c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3"/>
      <x:c r="Q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13"/>
      <x:c r="Q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  <x:c r="P117" s="13"/>
      <x:c r="Q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  <x:c r="P126" s="13"/>
      <x:c r="Q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  <x:c r="P130" s="13"/>
      <x:c r="Q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  <x:c r="P132" s="13"/>
      <x:c r="Q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  <x:c r="P136" s="13"/>
      <x:c r="Q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  <x:c r="P137" s="13"/>
      <x:c r="Q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  <x:c r="P138" s="13"/>
      <x:c r="Q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  <x:c r="P140" s="13"/>
      <x:c r="Q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  <x:c r="P141" s="13"/>
      <x:c r="Q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  <x:c r="P142" s="13"/>
      <x:c r="Q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  <x:c r="P144" s="13"/>
      <x:c r="Q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  <x:c r="P145" s="13"/>
      <x:c r="Q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  <x:c r="P146" s="13"/>
      <x:c r="Q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  <x:c r="P147" s="13"/>
      <x:c r="Q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  <x:c r="P148" s="13"/>
      <x:c r="Q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  <x:c r="P149" s="13"/>
      <x:c r="Q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  <x:c r="P150" s="13"/>
      <x:c r="Q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  <x:c r="P151" s="13"/>
      <x:c r="Q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  <x:c r="P152" s="13"/>
      <x:c r="Q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  <x:c r="P153" s="13"/>
      <x:c r="Q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  <x:c r="P154" s="13"/>
      <x:c r="Q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  <x:c r="P155" s="13"/>
      <x:c r="Q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  <x:c r="P156" s="13"/>
      <x:c r="Q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  <x:c r="P157" s="13"/>
      <x:c r="Q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  <x:c r="P158" s="13"/>
      <x:c r="Q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  <x:c r="P159" s="13"/>
      <x:c r="Q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  <x:c r="P160" s="13"/>
      <x:c r="Q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  <x:c r="P161" s="13"/>
      <x:c r="Q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  <x:c r="P162" s="13"/>
      <x:c r="Q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  <x:c r="P164" s="13"/>
      <x:c r="Q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  <x:c r="P165" s="13"/>
      <x:c r="Q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  <x:c r="P166" s="13"/>
      <x:c r="Q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  <x:c r="P167" s="13"/>
      <x:c r="Q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  <x:c r="P168" s="13"/>
      <x:c r="Q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  <x:c r="P169" s="13"/>
      <x:c r="Q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  <x:c r="P170" s="13"/>
      <x:c r="Q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  <x:c r="P171" s="13"/>
      <x:c r="Q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  <x:c r="P172" s="13"/>
      <x:c r="Q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  <x:c r="P173" s="13"/>
      <x:c r="Q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  <x:c r="P174" s="13"/>
      <x:c r="Q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  <x:c r="P175" s="13"/>
      <x:c r="Q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  <x:c r="P176" s="13"/>
      <x:c r="Q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  <x:c r="P177" s="13"/>
      <x:c r="Q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  <x:c r="P178" s="13"/>
      <x:c r="Q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  <x:c r="P179" s="13"/>
      <x:c r="Q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  <x:c r="P180" s="13"/>
      <x:c r="Q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  <x:c r="P181" s="13"/>
      <x:c r="Q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  <x:c r="P182" s="13"/>
      <x:c r="Q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  <x:c r="P183" s="13"/>
      <x:c r="Q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  <x:c r="P184" s="13"/>
      <x:c r="Q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  <x:c r="P185" s="13"/>
      <x:c r="Q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  <x:c r="P186" s="13"/>
      <x:c r="Q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  <x:c r="P187" s="13"/>
      <x:c r="Q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13"/>
      <x:c r="Q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  <x:c r="P189" s="13"/>
      <x:c r="Q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  <x:c r="P190" s="13"/>
      <x:c r="Q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  <x:c r="P191" s="13"/>
      <x:c r="Q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  <x:c r="P192" s="13"/>
      <x:c r="Q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  <x:c r="P193" s="13"/>
      <x:c r="Q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  <x:c r="P194" s="13"/>
      <x:c r="Q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  <x:c r="P195" s="13"/>
      <x:c r="Q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  <x:c r="P196" s="13"/>
      <x:c r="Q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  <x:c r="P197" s="13"/>
      <x:c r="Q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  <x:c r="P198" s="13"/>
      <x:c r="Q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  <x:c r="P199" s="13"/>
      <x:c r="Q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  <x:c r="P200" s="13"/>
      <x:c r="Q200" s="13"/>
    </x:row>
  </x:sheetData>
  <x:pageMargins left="0.7" right="0.7" top="0.75" bottom="0.75" header="0.3" footer="0.3"/>
  <x:drawing xmlns:r="http://schemas.openxmlformats.org/officeDocument/2006/relationships" r:id="R708b5f12cc684659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4" hidden="0" customWidth="1"/>
    <x:col min="5" max="5" width="14" hidden="0" customWidth="1"/>
    <x:col min="6" max="6" width="16" hidden="0" customWidth="1"/>
    <x:col min="7" max="7" width="12" hidden="0" customWidth="1"/>
    <x:col min="8" max="8" width="13" hidden="0" customWidth="1"/>
    <x:col min="9" max="9" width="11" hidden="0" customWidth="1"/>
    <x:col min="10" max="10" width="12" hidden="0" customWidth="1"/>
    <x:col min="11" max="11" width="13" hidden="0" customWidth="1"/>
    <x:col min="12" max="12" width="14" hidden="0" customWidth="1"/>
    <x:col min="13" max="13" width="18" hidden="0" customWidth="1"/>
    <x:col min="14" max="14" width="16" hidden="0" customWidth="1"/>
    <x:col min="15" max="15" width="13" hidden="0" customWidth="1"/>
    <x:col min="16" max="16" width="13" hidden="0" customWidth="1"/>
    <x:col min="17" max="17" width="28" hidden="0" customWidth="1"/>
  </x:cols>
  <x:sheetData>
    <x:row r="1" ht="24" customHeight="1">
      <x:c r="A1" s="12" t="str">
        <x:v>Compte de résultat mensuel fictif</x:v>
      </x:c>
      <x:c r="B1" s="12" t="str"/>
      <x:c r="C1" s="12" t="str"/>
      <x:c r="D1" s="12" t="str"/>
      <x:c r="E1" s="12" t="str"/>
      <x:c r="F1" s="12" t="str"/>
      <x:c r="G1" s="12" t="str"/>
      <x:c r="H1" s="12" t="str"/>
      <x:c r="I1" s="13"/>
      <x:c r="J1" s="13"/>
      <x:c r="K1" s="13"/>
      <x:c r="L1" s="13"/>
      <x:c r="M1" s="13"/>
      <x:c r="N1" s="13"/>
      <x:c r="O1" s="13"/>
      <x:c r="P1" s="13"/>
      <x:c r="Q1" s="13"/>
    </x:row>
    <x:row r="2" ht="20" customHeight="1">
      <x:c r="A2" s="14" t="str">
        <x:v>Données mensuelles 2025 en euros - fichier de test pour analyse Codex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3"/>
      <x:c r="J2" s="13"/>
      <x:c r="K2" s="13"/>
      <x:c r="L2" s="13"/>
      <x:c r="M2" s="13"/>
      <x:c r="N2" s="13"/>
      <x:c r="O2" s="13"/>
      <x:c r="P2" s="13"/>
      <x:c r="Q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</x:row>
    <x:row r="4">
      <x:c r="A4" s="15" t="str">
        <x:v>Mois</x:v>
      </x:c>
      <x:c r="B4" s="15" t="str">
        <x:v>CA services</x:v>
      </x:c>
      <x:c r="C4" s="15" t="str">
        <x:v>CA récurrent</x:v>
      </x:c>
      <x:c r="D4" s="15" t="str">
        <x:v>Autres produits</x:v>
      </x:c>
      <x:c r="E4" s="15" t="str">
        <x:v>Total produits</x:v>
      </x:c>
      <x:c r="F4" s="15" t="str">
        <x:v>Achats/prestataires</x:v>
      </x:c>
      <x:c r="G4" s="15" t="str">
        <x:v>Salaires</x:v>
      </x:c>
      <x:c r="H4" s="15" t="str">
        <x:v>Marketing</x:v>
      </x:c>
      <x:c r="I4" s="15" t="str">
        <x:v>Loyer</x:v>
      </x:c>
      <x:c r="J4" s="15" t="str">
        <x:v>Logiciels</x:v>
      </x:c>
      <x:c r="K4" s="15" t="str">
        <x:v>Frais bancaires</x:v>
      </x:c>
      <x:c r="L4" s="15" t="str">
        <x:v>Total charges</x:v>
      </x:c>
      <x:c r="M4" s="15" t="str">
        <x:v>Résultat opérationnel</x:v>
      </x:c>
      <x:c r="N4" s="15" t="str">
        <x:v>Marge opérationnelle</x:v>
      </x:c>
      <x:c r="O4" s="15" t="str">
        <x:v>Impôt estimé</x:v>
      </x:c>
      <x:c r="P4" s="15" t="str">
        <x:v>Résultat net</x:v>
      </x:c>
      <x:c r="Q4" s="15" t="str">
        <x:v>Commentaire</x:v>
      </x:c>
    </x:row>
    <x:row r="5">
      <x:c r="A5" s="16" t="str">
        <x:v>Jan 2025</x:v>
      </x:c>
      <x:c r="B5" s="17" t="n">
        <x:v>84000</x:v>
      </x:c>
      <x:c r="C5" s="17" t="n">
        <x:v>21000</x:v>
      </x:c>
      <x:c r="D5" s="17" t="n">
        <x:v>2500</x:v>
      </x:c>
      <x:c r="E5" s="17" t="n">
        <x:f>SUM(B5:D5)</x:f>
        <x:v>107500</x:v>
      </x:c>
      <x:c r="F5" s="17" t="n">
        <x:v>24500</x:v>
      </x:c>
      <x:c r="G5" s="17" t="n">
        <x:v>42000</x:v>
      </x:c>
      <x:c r="H5" s="17" t="n">
        <x:v>8200</x:v>
      </x:c>
      <x:c r="I5" s="17" t="n">
        <x:v>7200</x:v>
      </x:c>
      <x:c r="J5" s="17" t="n">
        <x:v>3600</x:v>
      </x:c>
      <x:c r="K5" s="17" t="n">
        <x:v>850</x:v>
      </x:c>
      <x:c r="L5" s="17" t="n">
        <x:f>SUM(F5:K5)</x:f>
        <x:v>86350</x:v>
      </x:c>
      <x:c r="M5" s="17" t="n">
        <x:f>E5-L5</x:f>
        <x:v>21150</x:v>
      </x:c>
      <x:c r="N5" s="18" t="n">
        <x:f>IFERROR(M5/E5,0)</x:f>
        <x:v>0.19674418604651162</x:v>
      </x:c>
      <x:c r="O5" s="17" t="n">
        <x:f>MAX(0,M5*20%)</x:f>
        <x:v>4230</x:v>
      </x:c>
      <x:c r="P5" s="17" t="n">
        <x:f>M5-O5</x:f>
        <x:v>16920</x:v>
      </x:c>
      <x:c r="Q5" s="16" t="str">
        <x:v>Démarrage stable</x:v>
      </x:c>
    </x:row>
    <x:row r="6">
      <x:c r="A6" s="16" t="str">
        <x:v>Fév 2025</x:v>
      </x:c>
      <x:c r="B6" s="17" t="n">
        <x:v>88000</x:v>
      </x:c>
      <x:c r="C6" s="17" t="n">
        <x:v>21500</x:v>
      </x:c>
      <x:c r="D6" s="17" t="n">
        <x:v>0</x:v>
      </x:c>
      <x:c r="E6" s="17" t="n">
        <x:f>SUM(B6:D6)</x:f>
        <x:v>109500</x:v>
      </x:c>
      <x:c r="F6" s="17" t="n">
        <x:v>25200</x:v>
      </x:c>
      <x:c r="G6" s="17" t="n">
        <x:v>42100</x:v>
      </x:c>
      <x:c r="H6" s="17" t="n">
        <x:v>7800</x:v>
      </x:c>
      <x:c r="I6" s="17" t="n">
        <x:v>7200</x:v>
      </x:c>
      <x:c r="J6" s="17" t="n">
        <x:v>3650</x:v>
      </x:c>
      <x:c r="K6" s="17" t="n">
        <x:v>910</x:v>
      </x:c>
      <x:c r="L6" s="17" t="n">
        <x:f>SUM(F6:K6)</x:f>
        <x:v>86860</x:v>
      </x:c>
      <x:c r="M6" s="17" t="n">
        <x:f>E6-L6</x:f>
        <x:v>22640</x:v>
      </x:c>
      <x:c r="N6" s="18" t="n">
        <x:f>IFERROR(M6/E6,0)</x:f>
        <x:v>0.2067579908675799</x:v>
      </x:c>
      <x:c r="O6" s="17" t="n">
        <x:f>MAX(0,M6*20%)</x:f>
        <x:v>4528</x:v>
      </x:c>
      <x:c r="P6" s="17" t="n">
        <x:f>M6-O6</x:f>
        <x:v>18112</x:v>
      </x:c>
      <x:c r="Q6" s="16" t="str">
        <x:v>Légère progression</x:v>
      </x:c>
    </x:row>
    <x:row r="7">
      <x:c r="A7" s="16" t="str">
        <x:v>Mar 2025</x:v>
      </x:c>
      <x:c r="B7" s="17" t="n">
        <x:v>96500</x:v>
      </x:c>
      <x:c r="C7" s="17" t="n">
        <x:v>22300</x:v>
      </x:c>
      <x:c r="D7" s="17" t="n">
        <x:v>1800</x:v>
      </x:c>
      <x:c r="E7" s="17" t="n">
        <x:f>SUM(B7:D7)</x:f>
        <x:v>120600</x:v>
      </x:c>
      <x:c r="F7" s="17" t="n">
        <x:v>26800</x:v>
      </x:c>
      <x:c r="G7" s="17" t="n">
        <x:v>43000</x:v>
      </x:c>
      <x:c r="H7" s="17" t="n">
        <x:v>9200</x:v>
      </x:c>
      <x:c r="I7" s="17" t="n">
        <x:v>7200</x:v>
      </x:c>
      <x:c r="J7" s="17" t="n">
        <x:v>3700</x:v>
      </x:c>
      <x:c r="K7" s="17" t="n">
        <x:v>980</x:v>
      </x:c>
      <x:c r="L7" s="17" t="n">
        <x:f>SUM(F7:K7)</x:f>
        <x:v>90880</x:v>
      </x:c>
      <x:c r="M7" s="17" t="n">
        <x:f>E7-L7</x:f>
        <x:v>29720</x:v>
      </x:c>
      <x:c r="N7" s="18" t="n">
        <x:f>IFERROR(M7/E7,0)</x:f>
        <x:v>0.24643449419568822</x:v>
      </x:c>
      <x:c r="O7" s="17" t="n">
        <x:f>MAX(0,M7*20%)</x:f>
        <x:v>5944</x:v>
      </x:c>
      <x:c r="P7" s="17" t="n">
        <x:f>M7-O7</x:f>
        <x:v>23776</x:v>
      </x:c>
      <x:c r="Q7" s="16" t="str">
        <x:v>Bon mois commercial</x:v>
      </x:c>
    </x:row>
    <x:row r="8">
      <x:c r="A8" s="16" t="str">
        <x:v>Avr 2025</x:v>
      </x:c>
      <x:c r="B8" s="17" t="n">
        <x:v>79000</x:v>
      </x:c>
      <x:c r="C8" s="17" t="n">
        <x:v>22600</x:v>
      </x:c>
      <x:c r="D8" s="17" t="n">
        <x:v>0</x:v>
      </x:c>
      <x:c r="E8" s="17" t="n">
        <x:f>SUM(B8:D8)</x:f>
        <x:v>101600</x:v>
      </x:c>
      <x:c r="F8" s="17" t="n">
        <x:v>24800</x:v>
      </x:c>
      <x:c r="G8" s="17" t="n">
        <x:v>43200</x:v>
      </x:c>
      <x:c r="H8" s="17" t="n">
        <x:v>7600</x:v>
      </x:c>
      <x:c r="I8" s="17" t="n">
        <x:v>7200</x:v>
      </x:c>
      <x:c r="J8" s="17" t="n">
        <x:v>3750</x:v>
      </x:c>
      <x:c r="K8" s="17" t="n">
        <x:v>880</x:v>
      </x:c>
      <x:c r="L8" s="17" t="n">
        <x:f>SUM(F8:K8)</x:f>
        <x:v>87430</x:v>
      </x:c>
      <x:c r="M8" s="17" t="n">
        <x:f>E8-L8</x:f>
        <x:v>14170</x:v>
      </x:c>
      <x:c r="N8" s="18" t="n">
        <x:f>IFERROR(M8/E8,0)</x:f>
        <x:v>0.13946850393700788</x:v>
      </x:c>
      <x:c r="O8" s="17" t="n">
        <x:f>MAX(0,M8*20%)</x:f>
        <x:v>2834</x:v>
      </x:c>
      <x:c r="P8" s="17" t="n">
        <x:f>M8-O8</x:f>
        <x:v>11336</x:v>
      </x:c>
      <x:c r="Q8" s="16" t="str">
        <x:v>Baisse liée à un client reporté</x:v>
      </x:c>
    </x:row>
    <x:row r="9">
      <x:c r="A9" s="16" t="str">
        <x:v>Mai 2025</x:v>
      </x:c>
      <x:c r="B9" s="17" t="n">
        <x:v>101000</x:v>
      </x:c>
      <x:c r="C9" s="17" t="n">
        <x:v>23000</x:v>
      </x:c>
      <x:c r="D9" s="17" t="n">
        <x:v>3200</x:v>
      </x:c>
      <x:c r="E9" s="17" t="n">
        <x:f>SUM(B9:D9)</x:f>
        <x:v>127200</x:v>
      </x:c>
      <x:c r="F9" s="17" t="n">
        <x:v>28600</x:v>
      </x:c>
      <x:c r="G9" s="17" t="n">
        <x:v>43800</x:v>
      </x:c>
      <x:c r="H9" s="17" t="n">
        <x:v>10400</x:v>
      </x:c>
      <x:c r="I9" s="17" t="n">
        <x:v>7200</x:v>
      </x:c>
      <x:c r="J9" s="17" t="n">
        <x:v>3820</x:v>
      </x:c>
      <x:c r="K9" s="17" t="n">
        <x:v>1040</x:v>
      </x:c>
      <x:c r="L9" s="17" t="n">
        <x:f>SUM(F9:K9)</x:f>
        <x:v>94860</x:v>
      </x:c>
      <x:c r="M9" s="17" t="n">
        <x:f>E9-L9</x:f>
        <x:v>32340</x:v>
      </x:c>
      <x:c r="N9" s="18" t="n">
        <x:f>IFERROR(M9/E9,0)</x:f>
        <x:v>0.25424528301886795</x:v>
      </x:c>
      <x:c r="O9" s="17" t="n">
        <x:f>MAX(0,M9*20%)</x:f>
        <x:v>6468</x:v>
      </x:c>
      <x:c r="P9" s="17" t="n">
        <x:f>M9-O9</x:f>
        <x:v>25872</x:v>
      </x:c>
      <x:c r="Q9" s="16" t="str">
        <x:v>Reprise après report</x:v>
      </x:c>
    </x:row>
    <x:row r="10">
      <x:c r="A10" s="16" t="str">
        <x:v>Juin 2025</x:v>
      </x:c>
      <x:c r="B10" s="17" t="n">
        <x:v>112000</x:v>
      </x:c>
      <x:c r="C10" s="17" t="n">
        <x:v>23800</x:v>
      </x:c>
      <x:c r="D10" s="17" t="n">
        <x:v>0</x:v>
      </x:c>
      <x:c r="E10" s="17" t="n">
        <x:f>SUM(B10:D10)</x:f>
        <x:v>135800</x:v>
      </x:c>
      <x:c r="F10" s="17" t="n">
        <x:v>31600</x:v>
      </x:c>
      <x:c r="G10" s="17" t="n">
        <x:v>44000</x:v>
      </x:c>
      <x:c r="H10" s="17" t="n">
        <x:v>24500</x:v>
      </x:c>
      <x:c r="I10" s="17" t="n">
        <x:v>7200</x:v>
      </x:c>
      <x:c r="J10" s="17" t="n">
        <x:v>3900</x:v>
      </x:c>
      <x:c r="K10" s="17" t="n">
        <x:v>1180</x:v>
      </x:c>
      <x:c r="L10" s="17" t="n">
        <x:f>SUM(F10:K10)</x:f>
        <x:v>112380</x:v>
      </x:c>
      <x:c r="M10" s="17" t="n">
        <x:f>E10-L10</x:f>
        <x:v>23420</x:v>
      </x:c>
      <x:c r="N10" s="18" t="n">
        <x:f>IFERROR(M10/E10,0)</x:f>
        <x:v>0.17245949926362297</x:v>
      </x:c>
      <x:c r="O10" s="17" t="n">
        <x:f>MAX(0,M10*20%)</x:f>
        <x:v>4684</x:v>
      </x:c>
      <x:c r="P10" s="17" t="n">
        <x:f>M10-O10</x:f>
        <x:v>18736</x:v>
      </x:c>
      <x:c r="Q10" s="16" t="str">
        <x:v>Campagne marketing exceptionnelle</x:v>
      </x:c>
    </x:row>
    <x:row r="11">
      <x:c r="A11" s="16" t="str">
        <x:v>Juil 2025</x:v>
      </x:c>
      <x:c r="B11" s="17" t="n">
        <x:v>107500</x:v>
      </x:c>
      <x:c r="C11" s="17" t="n">
        <x:v>24500</x:v>
      </x:c>
      <x:c r="D11" s="17" t="n">
        <x:v>1500</x:v>
      </x:c>
      <x:c r="E11" s="17" t="n">
        <x:f>SUM(B11:D11)</x:f>
        <x:v>133500</x:v>
      </x:c>
      <x:c r="F11" s="17" t="n">
        <x:v>29800</x:v>
      </x:c>
      <x:c r="G11" s="17" t="n">
        <x:v>44800</x:v>
      </x:c>
      <x:c r="H11" s="17" t="n">
        <x:v>11200</x:v>
      </x:c>
      <x:c r="I11" s="17" t="n">
        <x:v>7200</x:v>
      </x:c>
      <x:c r="J11" s="17" t="n">
        <x:v>4020</x:v>
      </x:c>
      <x:c r="K11" s="17" t="n">
        <x:v>1090</x:v>
      </x:c>
      <x:c r="L11" s="17" t="n">
        <x:f>SUM(F11:K11)</x:f>
        <x:v>98110</x:v>
      </x:c>
      <x:c r="M11" s="17" t="n">
        <x:f>E11-L11</x:f>
        <x:v>35390</x:v>
      </x:c>
      <x:c r="N11" s="18" t="n">
        <x:f>IFERROR(M11/E11,0)</x:f>
        <x:v>0.2650936329588015</x:v>
      </x:c>
      <x:c r="O11" s="17" t="n">
        <x:f>MAX(0,M11*20%)</x:f>
        <x:v>7078</x:v>
      </x:c>
      <x:c r="P11" s="17" t="n">
        <x:f>M11-O11</x:f>
        <x:v>28312</x:v>
      </x:c>
      <x:c r="Q11" s="16" t="str">
        <x:v>Activité soutenue</x:v>
      </x:c>
    </x:row>
    <x:row r="12">
      <x:c r="A12" s="16" t="str">
        <x:v>Août 2025</x:v>
      </x:c>
      <x:c r="B12" s="17" t="n">
        <x:v>68000</x:v>
      </x:c>
      <x:c r="C12" s="17" t="n">
        <x:v>24800</x:v>
      </x:c>
      <x:c r="D12" s="17" t="n">
        <x:v>0</x:v>
      </x:c>
      <x:c r="E12" s="17" t="n">
        <x:f>SUM(B12:D12)</x:f>
        <x:v>92800</x:v>
      </x:c>
      <x:c r="F12" s="17" t="n">
        <x:v>21400</x:v>
      </x:c>
      <x:c r="G12" s="17" t="n">
        <x:v>44600</x:v>
      </x:c>
      <x:c r="H12" s="17" t="n">
        <x:v>6200</x:v>
      </x:c>
      <x:c r="I12" s="17" t="n">
        <x:v>7200</x:v>
      </x:c>
      <x:c r="J12" s="17" t="n">
        <x:v>3980</x:v>
      </x:c>
      <x:c r="K12" s="17" t="n">
        <x:v>760</x:v>
      </x:c>
      <x:c r="L12" s="17" t="n">
        <x:f>SUM(F12:K12)</x:f>
        <x:v>84140</x:v>
      </x:c>
      <x:c r="M12" s="17" t="n">
        <x:f>E12-L12</x:f>
        <x:v>8660</x:v>
      </x:c>
      <x:c r="N12" s="18" t="n">
        <x:f>IFERROR(M12/E12,0)</x:f>
        <x:v>0.09331896551724138</x:v>
      </x:c>
      <x:c r="O12" s="17" t="n">
        <x:f>MAX(0,M12*20%)</x:f>
        <x:v>1732</x:v>
      </x:c>
      <x:c r="P12" s="17" t="n">
        <x:f>M12-O12</x:f>
        <x:v>6928</x:v>
      </x:c>
      <x:c r="Q12" s="16" t="str">
        <x:v>Saisonnalité estivale</x:v>
      </x:c>
    </x:row>
    <x:row r="13">
      <x:c r="A13" s="16" t="str">
        <x:v>Sep 2025</x:v>
      </x:c>
      <x:c r="B13" s="17" t="n">
        <x:v>118000</x:v>
      </x:c>
      <x:c r="C13" s="17" t="n">
        <x:v>25500</x:v>
      </x:c>
      <x:c r="D13" s="17" t="n">
        <x:v>4200</x:v>
      </x:c>
      <x:c r="E13" s="17" t="n">
        <x:f>SUM(B13:D13)</x:f>
        <x:v>147700</x:v>
      </x:c>
      <x:c r="F13" s="17" t="n">
        <x:v>34200</x:v>
      </x:c>
      <x:c r="G13" s="17" t="n">
        <x:v>45500</x:v>
      </x:c>
      <x:c r="H13" s="17" t="n">
        <x:v>12800</x:v>
      </x:c>
      <x:c r="I13" s="17" t="n">
        <x:v>7300</x:v>
      </x:c>
      <x:c r="J13" s="17" t="n">
        <x:v>4100</x:v>
      </x:c>
      <x:c r="K13" s="17" t="n">
        <x:v>1240</x:v>
      </x:c>
      <x:c r="L13" s="17" t="n">
        <x:f>SUM(F13:K13)</x:f>
        <x:v>105140</x:v>
      </x:c>
      <x:c r="M13" s="17" t="n">
        <x:f>E13-L13</x:f>
        <x:v>42560</x:v>
      </x:c>
      <x:c r="N13" s="18" t="n">
        <x:f>IFERROR(M13/E13,0)</x:f>
        <x:v>0.2881516587677725</x:v>
      </x:c>
      <x:c r="O13" s="17" t="n">
        <x:f>MAX(0,M13*20%)</x:f>
        <x:v>8512</x:v>
      </x:c>
      <x:c r="P13" s="17" t="n">
        <x:f>M13-O13</x:f>
        <x:v>34048</x:v>
      </x:c>
      <x:c r="Q13" s="16" t="str">
        <x:v>Rattrapage rentrée</x:v>
      </x:c>
    </x:row>
    <x:row r="14">
      <x:c r="A14" s="16" t="str">
        <x:v>Oct 2025</x:v>
      </x:c>
      <x:c r="B14" s="17" t="n">
        <x:v>125500</x:v>
      </x:c>
      <x:c r="C14" s="17" t="n">
        <x:v>26000</x:v>
      </x:c>
      <x:c r="D14" s="17" t="n">
        <x:v>0</x:v>
      </x:c>
      <x:c r="E14" s="17" t="n">
        <x:f>SUM(B14:D14)</x:f>
        <x:v>151500</x:v>
      </x:c>
      <x:c r="F14" s="17" t="n">
        <x:v>36800</x:v>
      </x:c>
      <x:c r="G14" s="17" t="n">
        <x:v>46200</x:v>
      </x:c>
      <x:c r="H14" s="17" t="n">
        <x:v>13600</x:v>
      </x:c>
      <x:c r="I14" s="17" t="n">
        <x:v>7300</x:v>
      </x:c>
      <x:c r="J14" s="17" t="n">
        <x:v>4200</x:v>
      </x:c>
      <x:c r="K14" s="17" t="n">
        <x:v>1320</x:v>
      </x:c>
      <x:c r="L14" s="17" t="n">
        <x:f>SUM(F14:K14)</x:f>
        <x:v>109420</x:v>
      </x:c>
      <x:c r="M14" s="17" t="n">
        <x:f>E14-L14</x:f>
        <x:v>42080</x:v>
      </x:c>
      <x:c r="N14" s="18" t="n">
        <x:f>IFERROR(M14/E14,0)</x:f>
        <x:v>0.27775577557755776</x:v>
      </x:c>
      <x:c r="O14" s="17" t="n">
        <x:f>MAX(0,M14*20%)</x:f>
        <x:v>8416</x:v>
      </x:c>
      <x:c r="P14" s="17" t="n">
        <x:f>M14-O14</x:f>
        <x:v>33664</x:v>
      </x:c>
      <x:c r="Q14" s="16" t="str">
        <x:v>Hausse grands comptes</x:v>
      </x:c>
    </x:row>
    <x:row r="15">
      <x:c r="A15" s="16" t="str">
        <x:v>Nov 2025</x:v>
      </x:c>
      <x:c r="B15" s="17" t="n">
        <x:v>120000</x:v>
      </x:c>
      <x:c r="C15" s="17" t="n">
        <x:v>26800</x:v>
      </x:c>
      <x:c r="D15" s="17" t="n">
        <x:v>0</x:v>
      </x:c>
      <x:c r="E15" s="17" t="n">
        <x:f>SUM(B15:D15)</x:f>
        <x:v>146800</x:v>
      </x:c>
      <x:c r="F15" s="17" t="n">
        <x:v>35800</x:v>
      </x:c>
      <x:c r="G15" s="17" t="n">
        <x:v>47000</x:v>
      </x:c>
      <x:c r="H15" s="17" t="n">
        <x:v>18800</x:v>
      </x:c>
      <x:c r="I15" s="17" t="n">
        <x:v>7300</x:v>
      </x:c>
      <x:c r="J15" s="17" t="n">
        <x:v>4300</x:v>
      </x:c>
      <x:c r="K15" s="17" t="n">
        <x:v>1420</x:v>
      </x:c>
      <x:c r="L15" s="17" t="n">
        <x:f>SUM(F15:K15)</x:f>
        <x:v>114620</x:v>
      </x:c>
      <x:c r="M15" s="17" t="n">
        <x:f>E15-L15</x:f>
        <x:v>32180</x:v>
      </x:c>
      <x:c r="N15" s="18" t="n">
        <x:f>IFERROR(M15/E15,0)</x:f>
        <x:v>0.21920980926430517</x:v>
      </x:c>
      <x:c r="O15" s="17" t="n">
        <x:f>MAX(0,M15*20%)</x:f>
        <x:v>6436</x:v>
      </x:c>
      <x:c r="P15" s="17" t="n">
        <x:f>M15-O15</x:f>
        <x:v>25744</x:v>
      </x:c>
      <x:c r="Q15" s="16" t="str">
        <x:v>Charges marketing au-dessus du budget</x:v>
      </x:c>
    </x:row>
    <x:row r="16">
      <x:c r="A16" s="16" t="str">
        <x:v>Déc 2025</x:v>
      </x:c>
      <x:c r="B16" s="17" t="n">
        <x:v>138000</x:v>
      </x:c>
      <x:c r="C16" s="17" t="n">
        <x:v>27400</x:v>
      </x:c>
      <x:c r="D16" s="17" t="n">
        <x:v>6200</x:v>
      </x:c>
      <x:c r="E16" s="17" t="n">
        <x:f>SUM(B16:D16)</x:f>
        <x:v>171600</x:v>
      </x:c>
      <x:c r="F16" s="17" t="n">
        <x:v>42100</x:v>
      </x:c>
      <x:c r="G16" s="17" t="n">
        <x:v>47500</x:v>
      </x:c>
      <x:c r="H16" s="17" t="n">
        <x:v>15200</x:v>
      </x:c>
      <x:c r="I16" s="17" t="n">
        <x:v>7300</x:v>
      </x:c>
      <x:c r="J16" s="17" t="n">
        <x:v>4400</x:v>
      </x:c>
      <x:c r="K16" s="17" t="n">
        <x:v>1510</x:v>
      </x:c>
      <x:c r="L16" s="17" t="n">
        <x:f>SUM(F16:K16)</x:f>
        <x:v>118010</x:v>
      </x:c>
      <x:c r="M16" s="17" t="n">
        <x:f>E16-L16</x:f>
        <x:v>53590</x:v>
      </x:c>
      <x:c r="N16" s="18" t="n">
        <x:f>IFERROR(M16/E16,0)</x:f>
        <x:v>0.3122960372960373</x:v>
      </x:c>
      <x:c r="O16" s="17" t="n">
        <x:f>MAX(0,M16*20%)</x:f>
        <x:v>10718</x:v>
      </x:c>
      <x:c r="P16" s="17" t="n">
        <x:f>M16-O16</x:f>
        <x:v>42872</x:v>
      </x:c>
      <x:c r="Q16" s="16" t="str">
        <x:v>Pic de fin d'année</x:v>
      </x:c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3"/>
      <x:c r="Q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13"/>
      <x:c r="Q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  <x:c r="P117" s="13"/>
      <x:c r="Q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  <x:c r="P126" s="13"/>
      <x:c r="Q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  <x:c r="P130" s="13"/>
      <x:c r="Q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  <x:c r="P132" s="13"/>
      <x:c r="Q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  <x:c r="P136" s="13"/>
      <x:c r="Q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  <x:c r="P137" s="13"/>
      <x:c r="Q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  <x:c r="P138" s="13"/>
      <x:c r="Q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  <x:c r="P140" s="13"/>
      <x:c r="Q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  <x:c r="P141" s="13"/>
      <x:c r="Q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  <x:c r="P142" s="13"/>
      <x:c r="Q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  <x:c r="P144" s="13"/>
      <x:c r="Q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  <x:c r="P145" s="13"/>
      <x:c r="Q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  <x:c r="P146" s="13"/>
      <x:c r="Q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  <x:c r="P147" s="13"/>
      <x:c r="Q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  <x:c r="P148" s="13"/>
      <x:c r="Q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  <x:c r="P149" s="13"/>
      <x:c r="Q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  <x:c r="P150" s="13"/>
      <x:c r="Q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  <x:c r="P151" s="13"/>
      <x:c r="Q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  <x:c r="P152" s="13"/>
      <x:c r="Q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  <x:c r="P153" s="13"/>
      <x:c r="Q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  <x:c r="P154" s="13"/>
      <x:c r="Q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  <x:c r="P155" s="13"/>
      <x:c r="Q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  <x:c r="P156" s="13"/>
      <x:c r="Q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  <x:c r="P157" s="13"/>
      <x:c r="Q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  <x:c r="P158" s="13"/>
      <x:c r="Q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  <x:c r="P159" s="13"/>
      <x:c r="Q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  <x:c r="P160" s="13"/>
      <x:c r="Q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  <x:c r="P161" s="13"/>
      <x:c r="Q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  <x:c r="P162" s="13"/>
      <x:c r="Q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  <x:c r="P164" s="13"/>
      <x:c r="Q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  <x:c r="P165" s="13"/>
      <x:c r="Q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  <x:c r="P166" s="13"/>
      <x:c r="Q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  <x:c r="P167" s="13"/>
      <x:c r="Q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  <x:c r="P168" s="13"/>
      <x:c r="Q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  <x:c r="P169" s="13"/>
      <x:c r="Q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  <x:c r="P170" s="13"/>
      <x:c r="Q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  <x:c r="P171" s="13"/>
      <x:c r="Q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  <x:c r="P172" s="13"/>
      <x:c r="Q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  <x:c r="P173" s="13"/>
      <x:c r="Q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  <x:c r="P174" s="13"/>
      <x:c r="Q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  <x:c r="P175" s="13"/>
      <x:c r="Q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  <x:c r="P176" s="13"/>
      <x:c r="Q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  <x:c r="P177" s="13"/>
      <x:c r="Q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  <x:c r="P178" s="13"/>
      <x:c r="Q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  <x:c r="P179" s="13"/>
      <x:c r="Q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  <x:c r="P180" s="13"/>
      <x:c r="Q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  <x:c r="P181" s="13"/>
      <x:c r="Q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  <x:c r="P182" s="13"/>
      <x:c r="Q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  <x:c r="P183" s="13"/>
      <x:c r="Q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  <x:c r="P184" s="13"/>
      <x:c r="Q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  <x:c r="P185" s="13"/>
      <x:c r="Q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  <x:c r="P186" s="13"/>
      <x:c r="Q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  <x:c r="P187" s="13"/>
      <x:c r="Q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13"/>
      <x:c r="Q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  <x:c r="P189" s="13"/>
      <x:c r="Q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  <x:c r="P190" s="13"/>
      <x:c r="Q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  <x:c r="P191" s="13"/>
      <x:c r="Q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  <x:c r="P192" s="13"/>
      <x:c r="Q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  <x:c r="P193" s="13"/>
      <x:c r="Q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  <x:c r="P194" s="13"/>
      <x:c r="Q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  <x:c r="P195" s="13"/>
      <x:c r="Q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  <x:c r="P196" s="13"/>
      <x:c r="Q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  <x:c r="P197" s="13"/>
      <x:c r="Q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  <x:c r="P198" s="13"/>
      <x:c r="Q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  <x:c r="P199" s="13"/>
      <x:c r="Q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  <x:c r="P200" s="13"/>
      <x:c r="Q200" s="13"/>
    </x:row>
  </x:sheetData>
  <x:pageMargins left="0.7" right="0.7" top="0.75" bottom="0.75" header="0.3" footer="0.3"/>
  <x:tableParts count="1">
    <x:tablePart xmlns:r="http://schemas.openxmlformats.org/officeDocument/2006/relationships" r:id="Read592aa9e184f6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14" hidden="0" customWidth="1"/>
    <x:col min="8" max="8" width="15" hidden="0" customWidth="1"/>
    <x:col min="9" max="9" width="14" hidden="0" customWidth="1"/>
    <x:col min="10" max="10" width="14" hidden="0" customWidth="1"/>
    <x:col min="11" max="11" width="28" hidden="0" customWidth="1"/>
  </x:cols>
  <x:sheetData>
    <x:row r="1" ht="24" customHeight="1">
      <x:c r="A1" s="12" t="str">
        <x:v>Budget vs réalisé</x:v>
      </x:c>
      <x:c r="B1" s="12" t="str"/>
      <x:c r="C1" s="12" t="str"/>
      <x:c r="D1" s="12" t="str"/>
      <x:c r="E1" s="12" t="str"/>
      <x:c r="F1" s="12" t="str"/>
      <x:c r="G1" s="12" t="str"/>
      <x:c r="H1" s="12" t="str"/>
      <x:c r="I1" s="13"/>
      <x:c r="J1" s="13"/>
      <x:c r="K1" s="13"/>
      <x:c r="L1" s="13"/>
      <x:c r="M1" s="13"/>
      <x:c r="N1" s="13"/>
      <x:c r="O1" s="13"/>
      <x:c r="P1" s="13"/>
      <x:c r="Q1" s="13"/>
    </x:row>
    <x:row r="2" ht="20" customHeight="1">
      <x:c r="A2" s="14" t="str">
        <x:v>Écarts mensuels fictifs pour tester les analyses de variance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3"/>
      <x:c r="J2" s="13"/>
      <x:c r="K2" s="13"/>
      <x:c r="L2" s="13"/>
      <x:c r="M2" s="13"/>
      <x:c r="N2" s="13"/>
      <x:c r="O2" s="13"/>
      <x:c r="P2" s="13"/>
      <x:c r="Q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</x:row>
    <x:row r="4">
      <x:c r="A4" s="15" t="str">
        <x:v>Mois</x:v>
      </x:c>
      <x:c r="B4" s="15" t="str">
        <x:v>Budget produits</x:v>
      </x:c>
      <x:c r="C4" s="15" t="str">
        <x:v>Réel produits</x:v>
      </x:c>
      <x:c r="D4" s="15" t="str">
        <x:v>Écart produits</x:v>
      </x:c>
      <x:c r="E4" s="15" t="str">
        <x:v>Budget charges</x:v>
      </x:c>
      <x:c r="F4" s="15" t="str">
        <x:v>Réel charges</x:v>
      </x:c>
      <x:c r="G4" s="15" t="str">
        <x:v>Écart charges</x:v>
      </x:c>
      <x:c r="H4" s="15" t="str">
        <x:v>Budget résultat</x:v>
      </x:c>
      <x:c r="I4" s="15" t="str">
        <x:v>Réel résultat</x:v>
      </x:c>
      <x:c r="J4" s="15" t="str">
        <x:v>Écart résultat</x:v>
      </x:c>
      <x:c r="K4" s="15" t="str">
        <x:v>Commentaire</x:v>
      </x:c>
      <x:c r="L4" s="13"/>
      <x:c r="M4" s="13"/>
      <x:c r="N4" s="13"/>
      <x:c r="O4" s="13"/>
      <x:c r="P4" s="13"/>
      <x:c r="Q4" s="13"/>
    </x:row>
    <x:row r="5">
      <x:c r="A5" s="16" t="str">
        <x:v>Jan 2025</x:v>
      </x:c>
      <x:c r="B5" s="17" t="n">
        <x:v>105000</x:v>
      </x:c>
      <x:c r="C5" s="17" t="n">
        <x:f>Compte_Resultat!E5</x:f>
        <x:v>107500</x:v>
      </x:c>
      <x:c r="D5" s="17" t="n">
        <x:f>C5-B5</x:f>
        <x:v>2500</x:v>
      </x:c>
      <x:c r="E5" s="17" t="n">
        <x:v>84500</x:v>
      </x:c>
      <x:c r="F5" s="17" t="n">
        <x:f>Compte_Resultat!L5</x:f>
        <x:v>86350</x:v>
      </x:c>
      <x:c r="G5" s="17" t="n">
        <x:f>E5-F5</x:f>
        <x:v>-1850</x:v>
      </x:c>
      <x:c r="H5" s="17" t="n">
        <x:v>20500</x:v>
      </x:c>
      <x:c r="I5" s="17" t="n">
        <x:f>Compte_Resultat!P5</x:f>
        <x:v>16920</x:v>
      </x:c>
      <x:c r="J5" s="17" t="n">
        <x:f>I5-H5</x:f>
        <x:v>-3580</x:v>
      </x:c>
      <x:c r="K5" s="16" t="str">
        <x:v>Budget initial</x:v>
      </x:c>
      <x:c r="L5" s="13"/>
      <x:c r="M5" s="13"/>
      <x:c r="N5" s="13"/>
      <x:c r="O5" s="13"/>
      <x:c r="P5" s="13"/>
      <x:c r="Q5" s="13"/>
    </x:row>
    <x:row r="6">
      <x:c r="A6" s="16" t="str">
        <x:v>Fév 2025</x:v>
      </x:c>
      <x:c r="B6" s="17" t="n">
        <x:v>108000</x:v>
      </x:c>
      <x:c r="C6" s="17" t="n">
        <x:f>Compte_Resultat!E6</x:f>
        <x:v>109500</x:v>
      </x:c>
      <x:c r="D6" s="17" t="n">
        <x:f>C6-B6</x:f>
        <x:v>1500</x:v>
      </x:c>
      <x:c r="E6" s="17" t="n">
        <x:v>85000</x:v>
      </x:c>
      <x:c r="F6" s="17" t="n">
        <x:f>Compte_Resultat!L6</x:f>
        <x:v>86860</x:v>
      </x:c>
      <x:c r="G6" s="17" t="n">
        <x:f>E6-F6</x:f>
        <x:v>-1860</x:v>
      </x:c>
      <x:c r="H6" s="17" t="n">
        <x:v>23000</x:v>
      </x:c>
      <x:c r="I6" s="17" t="n">
        <x:f>Compte_Resultat!P6</x:f>
        <x:v>18112</x:v>
      </x:c>
      <x:c r="J6" s="17" t="n">
        <x:f>I6-H6</x:f>
        <x:v>-4888</x:v>
      </x:c>
      <x:c r="K6" s="16" t="str">
        <x:v>Budget initial</x:v>
      </x:c>
      <x:c r="L6" s="13"/>
      <x:c r="M6" s="13"/>
      <x:c r="N6" s="13"/>
      <x:c r="O6" s="13"/>
      <x:c r="P6" s="13"/>
      <x:c r="Q6" s="13"/>
    </x:row>
    <x:row r="7">
      <x:c r="A7" s="16" t="str">
        <x:v>Mar 2025</x:v>
      </x:c>
      <x:c r="B7" s="17" t="n">
        <x:v>112000</x:v>
      </x:c>
      <x:c r="C7" s="17" t="n">
        <x:f>Compte_Resultat!E7</x:f>
        <x:v>120600</x:v>
      </x:c>
      <x:c r="D7" s="17" t="n">
        <x:f>C7-B7</x:f>
        <x:v>8600</x:v>
      </x:c>
      <x:c r="E7" s="17" t="n">
        <x:v>87500</x:v>
      </x:c>
      <x:c r="F7" s="17" t="n">
        <x:f>Compte_Resultat!L7</x:f>
        <x:v>90880</x:v>
      </x:c>
      <x:c r="G7" s="17" t="n">
        <x:f>E7-F7</x:f>
        <x:v>-3380</x:v>
      </x:c>
      <x:c r="H7" s="17" t="n">
        <x:v>24500</x:v>
      </x:c>
      <x:c r="I7" s="17" t="n">
        <x:f>Compte_Resultat!P7</x:f>
        <x:v>23776</x:v>
      </x:c>
      <x:c r="J7" s="17" t="n">
        <x:f>I7-H7</x:f>
        <x:v>-724</x:v>
      </x:c>
      <x:c r="K7" s="16" t="str">
        <x:v>Budget initial</x:v>
      </x:c>
      <x:c r="L7" s="13"/>
      <x:c r="M7" s="13"/>
      <x:c r="N7" s="13"/>
      <x:c r="O7" s="13"/>
      <x:c r="P7" s="13"/>
      <x:c r="Q7" s="13"/>
    </x:row>
    <x:row r="8">
      <x:c r="A8" s="16" t="str">
        <x:v>Avr 2025</x:v>
      </x:c>
      <x:c r="B8" s="17" t="n">
        <x:v>116000</x:v>
      </x:c>
      <x:c r="C8" s="17" t="n">
        <x:f>Compte_Resultat!E8</x:f>
        <x:v>101600</x:v>
      </x:c>
      <x:c r="D8" s="17" t="n">
        <x:f>C8-B8</x:f>
        <x:v>-14400</x:v>
      </x:c>
      <x:c r="E8" s="17" t="n">
        <x:v>89000</x:v>
      </x:c>
      <x:c r="F8" s="17" t="n">
        <x:f>Compte_Resultat!L8</x:f>
        <x:v>87430</x:v>
      </x:c>
      <x:c r="G8" s="17" t="n">
        <x:f>E8-F8</x:f>
        <x:v>1570</x:v>
      </x:c>
      <x:c r="H8" s="17" t="n">
        <x:v>27000</x:v>
      </x:c>
      <x:c r="I8" s="17" t="n">
        <x:f>Compte_Resultat!P8</x:f>
        <x:v>11336</x:v>
      </x:c>
      <x:c r="J8" s="17" t="n">
        <x:f>I8-H8</x:f>
        <x:v>-15664</x:v>
      </x:c>
      <x:c r="K8" s="16" t="str">
        <x:v>Objectif non atteint</x:v>
      </x:c>
      <x:c r="L8" s="13"/>
      <x:c r="M8" s="13"/>
      <x:c r="N8" s="13"/>
      <x:c r="O8" s="13"/>
      <x:c r="P8" s="13"/>
      <x:c r="Q8" s="13"/>
    </x:row>
    <x:row r="9">
      <x:c r="A9" s="16" t="str">
        <x:v>Mai 2025</x:v>
      </x:c>
      <x:c r="B9" s="17" t="n">
        <x:v>121000</x:v>
      </x:c>
      <x:c r="C9" s="17" t="n">
        <x:f>Compte_Resultat!E9</x:f>
        <x:v>127200</x:v>
      </x:c>
      <x:c r="D9" s="17" t="n">
        <x:f>C9-B9</x:f>
        <x:v>6200</x:v>
      </x:c>
      <x:c r="E9" s="17" t="n">
        <x:v>91000</x:v>
      </x:c>
      <x:c r="F9" s="17" t="n">
        <x:f>Compte_Resultat!L9</x:f>
        <x:v>94860</x:v>
      </x:c>
      <x:c r="G9" s="17" t="n">
        <x:f>E9-F9</x:f>
        <x:v>-3860</x:v>
      </x:c>
      <x:c r="H9" s="17" t="n">
        <x:v>30000</x:v>
      </x:c>
      <x:c r="I9" s="17" t="n">
        <x:f>Compte_Resultat!P9</x:f>
        <x:v>25872</x:v>
      </x:c>
      <x:c r="J9" s="17" t="n">
        <x:f>I9-H9</x:f>
        <x:v>-4128</x:v>
      </x:c>
      <x:c r="K9" s="16" t="str">
        <x:v>Reprise attendue</x:v>
      </x:c>
      <x:c r="L9" s="13"/>
      <x:c r="M9" s="13"/>
      <x:c r="N9" s="13"/>
      <x:c r="O9" s="13"/>
      <x:c r="P9" s="13"/>
      <x:c r="Q9" s="13"/>
    </x:row>
    <x:row r="10">
      <x:c r="A10" s="16" t="str">
        <x:v>Juin 2025</x:v>
      </x:c>
      <x:c r="B10" s="17" t="n">
        <x:v>126000</x:v>
      </x:c>
      <x:c r="C10" s="17" t="n">
        <x:f>Compte_Resultat!E10</x:f>
        <x:v>135800</x:v>
      </x:c>
      <x:c r="D10" s="17" t="n">
        <x:f>C10-B10</x:f>
        <x:v>9800</x:v>
      </x:c>
      <x:c r="E10" s="17" t="n">
        <x:v>94000</x:v>
      </x:c>
      <x:c r="F10" s="17" t="n">
        <x:f>Compte_Resultat!L10</x:f>
        <x:v>112380</x:v>
      </x:c>
      <x:c r="G10" s="17" t="n">
        <x:f>E10-F10</x:f>
        <x:v>-18380</x:v>
      </x:c>
      <x:c r="H10" s="17" t="n">
        <x:v>32000</x:v>
      </x:c>
      <x:c r="I10" s="17" t="n">
        <x:f>Compte_Resultat!P10</x:f>
        <x:v>18736</x:v>
      </x:c>
      <x:c r="J10" s="17" t="n">
        <x:f>I10-H10</x:f>
        <x:v>-13264</x:v>
      </x:c>
      <x:c r="K10" s="16" t="str">
        <x:v>Budget marketing sous-estimé</x:v>
      </x:c>
      <x:c r="L10" s="13"/>
      <x:c r="M10" s="13"/>
      <x:c r="N10" s="13"/>
      <x:c r="O10" s="13"/>
      <x:c r="P10" s="13"/>
      <x:c r="Q10" s="13"/>
    </x:row>
    <x:row r="11">
      <x:c r="A11" s="16" t="str">
        <x:v>Juil 2025</x:v>
      </x:c>
      <x:c r="B11" s="17" t="n">
        <x:v>128000</x:v>
      </x:c>
      <x:c r="C11" s="17" t="n">
        <x:f>Compte_Resultat!E11</x:f>
        <x:v>133500</x:v>
      </x:c>
      <x:c r="D11" s="17" t="n">
        <x:f>C11-B11</x:f>
        <x:v>5500</x:v>
      </x:c>
      <x:c r="E11" s="17" t="n">
        <x:v>94500</x:v>
      </x:c>
      <x:c r="F11" s="17" t="n">
        <x:f>Compte_Resultat!L11</x:f>
        <x:v>98110</x:v>
      </x:c>
      <x:c r="G11" s="17" t="n">
        <x:f>E11-F11</x:f>
        <x:v>-3610</x:v>
      </x:c>
      <x:c r="H11" s="17" t="n">
        <x:v>33500</x:v>
      </x:c>
      <x:c r="I11" s="17" t="n">
        <x:f>Compte_Resultat!P11</x:f>
        <x:v>28312</x:v>
      </x:c>
      <x:c r="J11" s="17" t="n">
        <x:f>I11-H11</x:f>
        <x:v>-5188</x:v>
      </x:c>
      <x:c r="K11" s="16" t="str">
        <x:v>Budget stable</x:v>
      </x:c>
      <x:c r="L11" s="13"/>
      <x:c r="M11" s="13"/>
      <x:c r="N11" s="13"/>
      <x:c r="O11" s="13"/>
      <x:c r="P11" s="13"/>
      <x:c r="Q11" s="13"/>
    </x:row>
    <x:row r="12">
      <x:c r="A12" s="16" t="str">
        <x:v>Août 2025</x:v>
      </x:c>
      <x:c r="B12" s="17" t="n">
        <x:v>101000</x:v>
      </x:c>
      <x:c r="C12" s="17" t="n">
        <x:f>Compte_Resultat!E12</x:f>
        <x:v>92800</x:v>
      </x:c>
      <x:c r="D12" s="17" t="n">
        <x:f>C12-B12</x:f>
        <x:v>-8200</x:v>
      </x:c>
      <x:c r="E12" s="17" t="n">
        <x:v>83000</x:v>
      </x:c>
      <x:c r="F12" s="17" t="n">
        <x:f>Compte_Resultat!L12</x:f>
        <x:v>84140</x:v>
      </x:c>
      <x:c r="G12" s="17" t="n">
        <x:f>E12-F12</x:f>
        <x:v>-1140</x:v>
      </x:c>
      <x:c r="H12" s="17" t="n">
        <x:v>18000</x:v>
      </x:c>
      <x:c r="I12" s="17" t="n">
        <x:f>Compte_Resultat!P12</x:f>
        <x:v>6928</x:v>
      </x:c>
      <x:c r="J12" s="17" t="n">
        <x:f>I12-H12</x:f>
        <x:v>-11072</x:v>
      </x:c>
      <x:c r="K12" s="16" t="str">
        <x:v>Mois saisonnier</x:v>
      </x:c>
      <x:c r="L12" s="13"/>
      <x:c r="M12" s="13"/>
      <x:c r="N12" s="13"/>
      <x:c r="O12" s="13"/>
      <x:c r="P12" s="13"/>
      <x:c r="Q12" s="13"/>
    </x:row>
    <x:row r="13">
      <x:c r="A13" s="16" t="str">
        <x:v>Sep 2025</x:v>
      </x:c>
      <x:c r="B13" s="17" t="n">
        <x:v>133000</x:v>
      </x:c>
      <x:c r="C13" s="17" t="n">
        <x:f>Compte_Resultat!E13</x:f>
        <x:v>147700</x:v>
      </x:c>
      <x:c r="D13" s="17" t="n">
        <x:f>C13-B13</x:f>
        <x:v>14700</x:v>
      </x:c>
      <x:c r="E13" s="17" t="n">
        <x:v>97000</x:v>
      </x:c>
      <x:c r="F13" s="17" t="n">
        <x:f>Compte_Resultat!L13</x:f>
        <x:v>105140</x:v>
      </x:c>
      <x:c r="G13" s="17" t="n">
        <x:f>E13-F13</x:f>
        <x:v>-8140</x:v>
      </x:c>
      <x:c r="H13" s="17" t="n">
        <x:v>36000</x:v>
      </x:c>
      <x:c r="I13" s="17" t="n">
        <x:f>Compte_Resultat!P13</x:f>
        <x:v>34048</x:v>
      </x:c>
      <x:c r="J13" s="17" t="n">
        <x:f>I13-H13</x:f>
        <x:v>-1952</x:v>
      </x:c>
      <x:c r="K13" s="16" t="str">
        <x:v>Rentrée commerciale</x:v>
      </x:c>
      <x:c r="L13" s="13"/>
      <x:c r="M13" s="13"/>
      <x:c r="N13" s="13"/>
      <x:c r="O13" s="13"/>
      <x:c r="P13" s="13"/>
      <x:c r="Q13" s="13"/>
    </x:row>
    <x:row r="14">
      <x:c r="A14" s="16" t="str">
        <x:v>Oct 2025</x:v>
      </x:c>
      <x:c r="B14" s="17" t="n">
        <x:v>139000</x:v>
      </x:c>
      <x:c r="C14" s="17" t="n">
        <x:f>Compte_Resultat!E14</x:f>
        <x:v>151500</x:v>
      </x:c>
      <x:c r="D14" s="17" t="n">
        <x:f>C14-B14</x:f>
        <x:v>12500</x:v>
      </x:c>
      <x:c r="E14" s="17" t="n">
        <x:v>99000</x:v>
      </x:c>
      <x:c r="F14" s="17" t="n">
        <x:f>Compte_Resultat!L14</x:f>
        <x:v>109420</x:v>
      </x:c>
      <x:c r="G14" s="17" t="n">
        <x:f>E14-F14</x:f>
        <x:v>-10420</x:v>
      </x:c>
      <x:c r="H14" s="17" t="n">
        <x:v>40000</x:v>
      </x:c>
      <x:c r="I14" s="17" t="n">
        <x:f>Compte_Resultat!P14</x:f>
        <x:v>33664</x:v>
      </x:c>
      <x:c r="J14" s="17" t="n">
        <x:f>I14-H14</x:f>
        <x:v>-6336</x:v>
      </x:c>
      <x:c r="K14" s="16" t="str">
        <x:v>Croissance attendue</x:v>
      </x:c>
      <x:c r="L14" s="13"/>
      <x:c r="M14" s="13"/>
      <x:c r="N14" s="13"/>
      <x:c r="O14" s="13"/>
      <x:c r="P14" s="13"/>
      <x:c r="Q14" s="13"/>
    </x:row>
    <x:row r="15">
      <x:c r="A15" s="16" t="str">
        <x:v>Nov 2025</x:v>
      </x:c>
      <x:c r="B15" s="17" t="n">
        <x:v>142000</x:v>
      </x:c>
      <x:c r="C15" s="17" t="n">
        <x:f>Compte_Resultat!E15</x:f>
        <x:v>146800</x:v>
      </x:c>
      <x:c r="D15" s="17" t="n">
        <x:f>C15-B15</x:f>
        <x:v>4800</x:v>
      </x:c>
      <x:c r="E15" s="17" t="n">
        <x:v>101000</x:v>
      </x:c>
      <x:c r="F15" s="17" t="n">
        <x:f>Compte_Resultat!L15</x:f>
        <x:v>114620</x:v>
      </x:c>
      <x:c r="G15" s="17" t="n">
        <x:f>E15-F15</x:f>
        <x:v>-13620</x:v>
      </x:c>
      <x:c r="H15" s="17" t="n">
        <x:v>41000</x:v>
      </x:c>
      <x:c r="I15" s="17" t="n">
        <x:f>Compte_Resultat!P15</x:f>
        <x:v>25744</x:v>
      </x:c>
      <x:c r="J15" s="17" t="n">
        <x:f>I15-H15</x:f>
        <x:v>-15256</x:v>
      </x:c>
      <x:c r="K15" s="16" t="str">
        <x:v>Dépassement charges possible</x:v>
      </x:c>
      <x:c r="L15" s="13"/>
      <x:c r="M15" s="13"/>
      <x:c r="N15" s="13"/>
      <x:c r="O15" s="13"/>
      <x:c r="P15" s="13"/>
      <x:c r="Q15" s="13"/>
    </x:row>
    <x:row r="16">
      <x:c r="A16" s="16" t="str">
        <x:v>Déc 2025</x:v>
      </x:c>
      <x:c r="B16" s="17" t="n">
        <x:v>156000</x:v>
      </x:c>
      <x:c r="C16" s="17" t="n">
        <x:f>Compte_Resultat!E16</x:f>
        <x:v>171600</x:v>
      </x:c>
      <x:c r="D16" s="17" t="n">
        <x:f>C16-B16</x:f>
        <x:v>15600</x:v>
      </x:c>
      <x:c r="E16" s="17" t="n">
        <x:v>108000</x:v>
      </x:c>
      <x:c r="F16" s="17" t="n">
        <x:f>Compte_Resultat!L16</x:f>
        <x:v>118010</x:v>
      </x:c>
      <x:c r="G16" s="17" t="n">
        <x:f>E16-F16</x:f>
        <x:v>-10010</x:v>
      </x:c>
      <x:c r="H16" s="17" t="n">
        <x:v>48000</x:v>
      </x:c>
      <x:c r="I16" s="17" t="n">
        <x:f>Compte_Resultat!P16</x:f>
        <x:v>42872</x:v>
      </x:c>
      <x:c r="J16" s="17" t="n">
        <x:f>I16-H16</x:f>
        <x:v>-5128</x:v>
      </x:c>
      <x:c r="K16" s="16" t="str">
        <x:v>Pic annuel</x:v>
      </x:c>
      <x:c r="L16" s="13"/>
      <x:c r="M16" s="13"/>
      <x:c r="N16" s="13"/>
      <x:c r="O16" s="13"/>
      <x:c r="P16" s="13"/>
      <x:c r="Q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3"/>
      <x:c r="Q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13"/>
      <x:c r="Q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  <x:c r="P117" s="13"/>
      <x:c r="Q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  <x:c r="P126" s="13"/>
      <x:c r="Q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  <x:c r="P130" s="13"/>
      <x:c r="Q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  <x:c r="P132" s="13"/>
      <x:c r="Q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  <x:c r="P136" s="13"/>
      <x:c r="Q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  <x:c r="P137" s="13"/>
      <x:c r="Q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  <x:c r="P138" s="13"/>
      <x:c r="Q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  <x:c r="P140" s="13"/>
      <x:c r="Q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  <x:c r="P141" s="13"/>
      <x:c r="Q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  <x:c r="P142" s="13"/>
      <x:c r="Q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  <x:c r="P144" s="13"/>
      <x:c r="Q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  <x:c r="P145" s="13"/>
      <x:c r="Q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  <x:c r="P146" s="13"/>
      <x:c r="Q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  <x:c r="P147" s="13"/>
      <x:c r="Q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  <x:c r="P148" s="13"/>
      <x:c r="Q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  <x:c r="P149" s="13"/>
      <x:c r="Q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  <x:c r="P150" s="13"/>
      <x:c r="Q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  <x:c r="P151" s="13"/>
      <x:c r="Q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  <x:c r="P152" s="13"/>
      <x:c r="Q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  <x:c r="P153" s="13"/>
      <x:c r="Q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  <x:c r="P154" s="13"/>
      <x:c r="Q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  <x:c r="P155" s="13"/>
      <x:c r="Q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  <x:c r="P156" s="13"/>
      <x:c r="Q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  <x:c r="P157" s="13"/>
      <x:c r="Q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  <x:c r="P158" s="13"/>
      <x:c r="Q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  <x:c r="P159" s="13"/>
      <x:c r="Q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  <x:c r="P160" s="13"/>
      <x:c r="Q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  <x:c r="P161" s="13"/>
      <x:c r="Q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  <x:c r="P162" s="13"/>
      <x:c r="Q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  <x:c r="P164" s="13"/>
      <x:c r="Q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  <x:c r="P165" s="13"/>
      <x:c r="Q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  <x:c r="P166" s="13"/>
      <x:c r="Q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  <x:c r="P167" s="13"/>
      <x:c r="Q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  <x:c r="P168" s="13"/>
      <x:c r="Q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  <x:c r="P169" s="13"/>
      <x:c r="Q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  <x:c r="P170" s="13"/>
      <x:c r="Q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  <x:c r="P171" s="13"/>
      <x:c r="Q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  <x:c r="P172" s="13"/>
      <x:c r="Q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  <x:c r="P173" s="13"/>
      <x:c r="Q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  <x:c r="P174" s="13"/>
      <x:c r="Q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  <x:c r="P175" s="13"/>
      <x:c r="Q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  <x:c r="P176" s="13"/>
      <x:c r="Q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  <x:c r="P177" s="13"/>
      <x:c r="Q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  <x:c r="P178" s="13"/>
      <x:c r="Q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  <x:c r="P179" s="13"/>
      <x:c r="Q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  <x:c r="P180" s="13"/>
      <x:c r="Q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  <x:c r="P181" s="13"/>
      <x:c r="Q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  <x:c r="P182" s="13"/>
      <x:c r="Q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  <x:c r="P183" s="13"/>
      <x:c r="Q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  <x:c r="P184" s="13"/>
      <x:c r="Q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  <x:c r="P185" s="13"/>
      <x:c r="Q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  <x:c r="P186" s="13"/>
      <x:c r="Q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  <x:c r="P187" s="13"/>
      <x:c r="Q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13"/>
      <x:c r="Q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  <x:c r="P189" s="13"/>
      <x:c r="Q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  <x:c r="P190" s="13"/>
      <x:c r="Q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  <x:c r="P191" s="13"/>
      <x:c r="Q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  <x:c r="P192" s="13"/>
      <x:c r="Q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  <x:c r="P193" s="13"/>
      <x:c r="Q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  <x:c r="P194" s="13"/>
      <x:c r="Q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  <x:c r="P195" s="13"/>
      <x:c r="Q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  <x:c r="P196" s="13"/>
      <x:c r="Q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  <x:c r="P197" s="13"/>
      <x:c r="Q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  <x:c r="P198" s="13"/>
      <x:c r="Q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  <x:c r="P199" s="13"/>
      <x:c r="Q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  <x:c r="P200" s="13"/>
      <x:c r="Q200" s="13"/>
    </x:row>
  </x:sheetData>
  <x:pageMargins left="0.7" right="0.7" top="0.75" bottom="0.75" header="0.3" footer="0.3"/>
  <x:tableParts count="1">
    <x:tablePart xmlns:r="http://schemas.openxmlformats.org/officeDocument/2006/relationships" r:id="R798faa980e7e43e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6" hidden="0" customWidth="1"/>
    <x:col min="7" max="7" width="15" hidden="0" customWidth="1"/>
    <x:col min="8" max="8" width="34" hidden="0" customWidth="1"/>
  </x:cols>
  <x:sheetData>
    <x:row r="1" ht="24" customHeight="1">
      <x:c r="A1" s="12" t="str">
        <x:v>Trésorerie mensuelle</x:v>
      </x:c>
      <x:c r="B1" s="12" t="str"/>
      <x:c r="C1" s="12" t="str"/>
      <x:c r="D1" s="12" t="str"/>
      <x:c r="E1" s="12" t="str"/>
      <x:c r="F1" s="12" t="str"/>
      <x:c r="G1" s="12" t="str"/>
      <x:c r="H1" s="12" t="str"/>
      <x:c r="I1" s="13"/>
      <x:c r="J1" s="13"/>
      <x:c r="K1" s="13"/>
      <x:c r="L1" s="13"/>
      <x:c r="M1" s="13"/>
      <x:c r="N1" s="13"/>
      <x:c r="O1" s="13"/>
      <x:c r="P1" s="13"/>
      <x:c r="Q1" s="13"/>
    </x:row>
    <x:row r="2" ht="20" customHeight="1">
      <x:c r="A2" s="14" t="str">
        <x:v>Encaissements, décaissements et solde de clôture fictifs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3"/>
      <x:c r="J2" s="13"/>
      <x:c r="K2" s="13"/>
      <x:c r="L2" s="13"/>
      <x:c r="M2" s="13"/>
      <x:c r="N2" s="13"/>
      <x:c r="O2" s="13"/>
      <x:c r="P2" s="13"/>
      <x:c r="Q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</x:row>
    <x:row r="4">
      <x:c r="A4" s="15" t="str">
        <x:v>Mois</x:v>
      </x:c>
      <x:c r="B4" s="15" t="str">
        <x:v>Solde ouverture</x:v>
      </x:c>
      <x:c r="C4" s="15" t="str">
        <x:v>Encaissements</x:v>
      </x:c>
      <x:c r="D4" s="15" t="str">
        <x:v>Décaissements</x:v>
      </x:c>
      <x:c r="E4" s="15" t="str">
        <x:v>Investissements</x:v>
      </x:c>
      <x:c r="F4" s="15" t="str">
        <x:v>Remboursement prêt</x:v>
      </x:c>
      <x:c r="G4" s="15" t="str">
        <x:v>Solde clôture</x:v>
      </x:c>
      <x:c r="H4" s="15" t="str">
        <x:v>Note</x:v>
      </x:c>
      <x:c r="I4" s="13"/>
      <x:c r="J4" s="13"/>
      <x:c r="K4" s="13"/>
      <x:c r="L4" s="13"/>
      <x:c r="M4" s="13"/>
      <x:c r="N4" s="13"/>
      <x:c r="O4" s="13"/>
      <x:c r="P4" s="13"/>
      <x:c r="Q4" s="13"/>
    </x:row>
    <x:row r="5">
      <x:c r="A5" s="16" t="str">
        <x:v>Jan 2025</x:v>
      </x:c>
      <x:c r="B5" s="17" t="n">
        <x:v>56000</x:v>
      </x:c>
      <x:c r="C5" s="17" t="n">
        <x:v>101000</x:v>
      </x:c>
      <x:c r="D5" s="17" t="n">
        <x:v>84200</x:v>
      </x:c>
      <x:c r="E5" s="17" t="n">
        <x:v>0</x:v>
      </x:c>
      <x:c r="F5" s="17" t="n">
        <x:v>3500</x:v>
      </x:c>
      <x:c r="G5" s="17" t="n">
        <x:f>B5+C5-D5-E5-F5</x:f>
        <x:v>69300</x:v>
      </x:c>
      <x:c r="H5" s="16" t="str"/>
      <x:c r="I5" s="13"/>
      <x:c r="J5" s="13"/>
      <x:c r="K5" s="13"/>
      <x:c r="L5" s="13"/>
      <x:c r="M5" s="13"/>
      <x:c r="N5" s="13"/>
      <x:c r="O5" s="13"/>
      <x:c r="P5" s="13"/>
      <x:c r="Q5" s="13"/>
    </x:row>
    <x:row r="6">
      <x:c r="A6" s="16" t="str">
        <x:v>Fév 2025</x:v>
      </x:c>
      <x:c r="B6" s="17" t="n">
        <x:f>G5</x:f>
        <x:v>69300</x:v>
      </x:c>
      <x:c r="C6" s="17" t="n">
        <x:v>109500</x:v>
      </x:c>
      <x:c r="D6" s="17" t="n">
        <x:v>81500</x:v>
      </x:c>
      <x:c r="E6" s="17" t="n">
        <x:v>0</x:v>
      </x:c>
      <x:c r="F6" s="17" t="n">
        <x:v>3500</x:v>
      </x:c>
      <x:c r="G6" s="17" t="n">
        <x:f>B6+C6-D6-E6-F6</x:f>
        <x:v>93800</x:v>
      </x:c>
      <x:c r="H6" s="16" t="str"/>
      <x:c r="I6" s="13"/>
      <x:c r="J6" s="13"/>
      <x:c r="K6" s="13"/>
      <x:c r="L6" s="13"/>
      <x:c r="M6" s="13"/>
      <x:c r="N6" s="13"/>
      <x:c r="O6" s="13"/>
      <x:c r="P6" s="13"/>
      <x:c r="Q6" s="13"/>
    </x:row>
    <x:row r="7">
      <x:c r="A7" s="16" t="str">
        <x:v>Mar 2025</x:v>
      </x:c>
      <x:c r="B7" s="17" t="n">
        <x:f>G6</x:f>
        <x:v>93800</x:v>
      </x:c>
      <x:c r="C7" s="17" t="n">
        <x:v>116000</x:v>
      </x:c>
      <x:c r="D7" s="17" t="n">
        <x:v>87100</x:v>
      </x:c>
      <x:c r="E7" s="17" t="n">
        <x:v>12000</x:v>
      </x:c>
      <x:c r="F7" s="17" t="n">
        <x:v>3500</x:v>
      </x:c>
      <x:c r="G7" s="17" t="n">
        <x:f>B7+C7-D7-E7-F7</x:f>
        <x:v>107200</x:v>
      </x:c>
      <x:c r="H7" s="16" t="str"/>
      <x:c r="I7" s="13"/>
      <x:c r="J7" s="13"/>
      <x:c r="K7" s="13"/>
      <x:c r="L7" s="13"/>
      <x:c r="M7" s="13"/>
      <x:c r="N7" s="13"/>
      <x:c r="O7" s="13"/>
      <x:c r="P7" s="13"/>
      <x:c r="Q7" s="13"/>
    </x:row>
    <x:row r="8">
      <x:c r="A8" s="16" t="str">
        <x:v>Avr 2025</x:v>
      </x:c>
      <x:c r="B8" s="17" t="n">
        <x:f>G7</x:f>
        <x:v>107200</x:v>
      </x:c>
      <x:c r="C8" s="17" t="n">
        <x:v>92000</x:v>
      </x:c>
      <x:c r="D8" s="17" t="n">
        <x:v>85600</x:v>
      </x:c>
      <x:c r="E8" s="17" t="n">
        <x:v>0</x:v>
      </x:c>
      <x:c r="F8" s="17" t="n">
        <x:v>3500</x:v>
      </x:c>
      <x:c r="G8" s="17" t="n">
        <x:f>B8+C8-D8-E8-F8</x:f>
        <x:v>110100</x:v>
      </x:c>
      <x:c r="H8" s="16" t="str"/>
      <x:c r="I8" s="13"/>
      <x:c r="J8" s="13"/>
      <x:c r="K8" s="13"/>
      <x:c r="L8" s="13"/>
      <x:c r="M8" s="13"/>
      <x:c r="N8" s="13"/>
      <x:c r="O8" s="13"/>
      <x:c r="P8" s="13"/>
      <x:c r="Q8" s="13"/>
    </x:row>
    <x:row r="9">
      <x:c r="A9" s="16" t="str">
        <x:v>Mai 2025</x:v>
      </x:c>
      <x:c r="B9" s="17" t="n">
        <x:f>G8</x:f>
        <x:v>110100</x:v>
      </x:c>
      <x:c r="C9" s="17" t="n">
        <x:v>126000</x:v>
      </x:c>
      <x:c r="D9" s="17" t="n">
        <x:v>94000</x:v>
      </x:c>
      <x:c r="E9" s="17" t="n">
        <x:v>0</x:v>
      </x:c>
      <x:c r="F9" s="17" t="n">
        <x:v>3500</x:v>
      </x:c>
      <x:c r="G9" s="17" t="n">
        <x:f>B9+C9-D9-E9-F9</x:f>
        <x:v>138600</x:v>
      </x:c>
      <x:c r="H9" s="16" t="str"/>
      <x:c r="I9" s="13"/>
      <x:c r="J9" s="13"/>
      <x:c r="K9" s="13"/>
      <x:c r="L9" s="13"/>
      <x:c r="M9" s="13"/>
      <x:c r="N9" s="13"/>
      <x:c r="O9" s="13"/>
      <x:c r="P9" s="13"/>
      <x:c r="Q9" s="13"/>
    </x:row>
    <x:row r="10">
      <x:c r="A10" s="16" t="str">
        <x:v>Juin 2025</x:v>
      </x:c>
      <x:c r="B10" s="17" t="n">
        <x:f>G9</x:f>
        <x:v>138600</x:v>
      </x:c>
      <x:c r="C10" s="17" t="n">
        <x:v>131000</x:v>
      </x:c>
      <x:c r="D10" s="17" t="n">
        <x:v>119500</x:v>
      </x:c>
      <x:c r="E10" s="17" t="n">
        <x:v>0</x:v>
      </x:c>
      <x:c r="F10" s="17" t="n">
        <x:v>3500</x:v>
      </x:c>
      <x:c r="G10" s="17" t="n">
        <x:f>B10+C10-D10-E10-F10</x:f>
        <x:v>146600</x:v>
      </x:c>
      <x:c r="H10" s="16" t="str"/>
      <x:c r="I10" s="13"/>
      <x:c r="J10" s="13"/>
      <x:c r="K10" s="13"/>
      <x:c r="L10" s="13"/>
      <x:c r="M10" s="13"/>
      <x:c r="N10" s="13"/>
      <x:c r="O10" s="13"/>
      <x:c r="P10" s="13"/>
      <x:c r="Q10" s="13"/>
    </x:row>
    <x:row r="11">
      <x:c r="A11" s="16" t="str">
        <x:v>Juil 2025</x:v>
      </x:c>
      <x:c r="B11" s="17" t="n">
        <x:f>G10</x:f>
        <x:v>146600</x:v>
      </x:c>
      <x:c r="C11" s="17" t="n">
        <x:v>129000</x:v>
      </x:c>
      <x:c r="D11" s="17" t="n">
        <x:v>98000</x:v>
      </x:c>
      <x:c r="E11" s="17" t="n">
        <x:v>8500</x:v>
      </x:c>
      <x:c r="F11" s="17" t="n">
        <x:v>3500</x:v>
      </x:c>
      <x:c r="G11" s="17" t="n">
        <x:f>B11+C11-D11-E11-F11</x:f>
        <x:v>165600</x:v>
      </x:c>
      <x:c r="H11" s="16" t="str"/>
      <x:c r="I11" s="13"/>
      <x:c r="J11" s="13"/>
      <x:c r="K11" s="13"/>
      <x:c r="L11" s="13"/>
      <x:c r="M11" s="13"/>
      <x:c r="N11" s="13"/>
      <x:c r="O11" s="13"/>
      <x:c r="P11" s="13"/>
      <x:c r="Q11" s="13"/>
    </x:row>
    <x:row r="12">
      <x:c r="A12" s="16" t="str">
        <x:v>Août 2025</x:v>
      </x:c>
      <x:c r="B12" s="17" t="n">
        <x:f>G11</x:f>
        <x:v>165600</x:v>
      </x:c>
      <x:c r="C12" s="17" t="n">
        <x:v>83000</x:v>
      </x:c>
      <x:c r="D12" s="17" t="n">
        <x:v>79000</x:v>
      </x:c>
      <x:c r="E12" s="17" t="n">
        <x:v>0</x:v>
      </x:c>
      <x:c r="F12" s="17" t="n">
        <x:v>3500</x:v>
      </x:c>
      <x:c r="G12" s="17" t="n">
        <x:f>B12+C12-D12-E12-F12</x:f>
        <x:v>166100</x:v>
      </x:c>
      <x:c r="H12" s="16" t="str"/>
      <x:c r="I12" s="13"/>
      <x:c r="J12" s="13"/>
      <x:c r="K12" s="13"/>
      <x:c r="L12" s="13"/>
      <x:c r="M12" s="13"/>
      <x:c r="N12" s="13"/>
      <x:c r="O12" s="13"/>
      <x:c r="P12" s="13"/>
      <x:c r="Q12" s="13"/>
    </x:row>
    <x:row r="13">
      <x:c r="A13" s="16" t="str">
        <x:v>Sep 2025</x:v>
      </x:c>
      <x:c r="B13" s="17" t="n">
        <x:f>G12</x:f>
        <x:v>166100</x:v>
      </x:c>
      <x:c r="C13" s="17" t="n">
        <x:v>113000</x:v>
      </x:c>
      <x:c r="D13" s="17" t="n">
        <x:v>102000</x:v>
      </x:c>
      <x:c r="E13" s="17" t="n">
        <x:v>0</x:v>
      </x:c>
      <x:c r="F13" s="17" t="n">
        <x:v>3500</x:v>
      </x:c>
      <x:c r="G13" s="17" t="n">
        <x:f>B13+C13-D13-E13-F13</x:f>
        <x:v>173600</x:v>
      </x:c>
      <x:c r="H13" s="16" t="str">
        <x:v>Encaissements retardés malgré bon CA</x:v>
      </x:c>
      <x:c r="I13" s="13"/>
      <x:c r="J13" s="13"/>
      <x:c r="K13" s="13"/>
      <x:c r="L13" s="13"/>
      <x:c r="M13" s="13"/>
      <x:c r="N13" s="13"/>
      <x:c r="O13" s="13"/>
      <x:c r="P13" s="13"/>
      <x:c r="Q13" s="13"/>
    </x:row>
    <x:row r="14">
      <x:c r="A14" s="16" t="str">
        <x:v>Oct 2025</x:v>
      </x:c>
      <x:c r="B14" s="17" t="n">
        <x:f>G13</x:f>
        <x:v>173600</x:v>
      </x:c>
      <x:c r="C14" s="17" t="n">
        <x:v>168000</x:v>
      </x:c>
      <x:c r="D14" s="17" t="n">
        <x:v>110500</x:v>
      </x:c>
      <x:c r="E14" s="17" t="n">
        <x:v>0</x:v>
      </x:c>
      <x:c r="F14" s="17" t="n">
        <x:v>3500</x:v>
      </x:c>
      <x:c r="G14" s="17" t="n">
        <x:f>B14+C14-D14-E14-F14</x:f>
        <x:v>227600</x:v>
      </x:c>
      <x:c r="H14" s="16" t="str">
        <x:v>Rattrapage encaissements</x:v>
      </x:c>
      <x:c r="I14" s="13"/>
      <x:c r="J14" s="13"/>
      <x:c r="K14" s="13"/>
      <x:c r="L14" s="13"/>
      <x:c r="M14" s="13"/>
      <x:c r="N14" s="13"/>
      <x:c r="O14" s="13"/>
      <x:c r="P14" s="13"/>
      <x:c r="Q14" s="13"/>
    </x:row>
    <x:row r="15">
      <x:c r="A15" s="16" t="str">
        <x:v>Nov 2025</x:v>
      </x:c>
      <x:c r="B15" s="17" t="n">
        <x:f>G14</x:f>
        <x:v>227600</x:v>
      </x:c>
      <x:c r="C15" s="17" t="n">
        <x:v>146000</x:v>
      </x:c>
      <x:c r="D15" s="17" t="n">
        <x:v>116000</x:v>
      </x:c>
      <x:c r="E15" s="17" t="n">
        <x:v>0</x:v>
      </x:c>
      <x:c r="F15" s="17" t="n">
        <x:v>3500</x:v>
      </x:c>
      <x:c r="G15" s="17" t="n">
        <x:f>B15+C15-D15-E15-F15</x:f>
        <x:v>254100</x:v>
      </x:c>
      <x:c r="H15" s="16" t="str"/>
      <x:c r="I15" s="13"/>
      <x:c r="J15" s="13"/>
      <x:c r="K15" s="13"/>
      <x:c r="L15" s="13"/>
      <x:c r="M15" s="13"/>
      <x:c r="N15" s="13"/>
      <x:c r="O15" s="13"/>
      <x:c r="P15" s="13"/>
      <x:c r="Q15" s="13"/>
    </x:row>
    <x:row r="16">
      <x:c r="A16" s="16" t="str">
        <x:v>Déc 2025</x:v>
      </x:c>
      <x:c r="B16" s="17" t="n">
        <x:f>G15</x:f>
        <x:v>254100</x:v>
      </x:c>
      <x:c r="C16" s="17" t="n">
        <x:v>171000</x:v>
      </x:c>
      <x:c r="D16" s="17" t="n">
        <x:v>121000</x:v>
      </x:c>
      <x:c r="E16" s="17" t="n">
        <x:v>16000</x:v>
      </x:c>
      <x:c r="F16" s="17" t="n">
        <x:v>3500</x:v>
      </x:c>
      <x:c r="G16" s="17" t="n">
        <x:f>B16+C16-D16-E16-F16</x:f>
        <x:v>284600</x:v>
      </x:c>
      <x:c r="H16" s="16" t="str">
        <x:v>Investissement logiciel annuel</x:v>
      </x:c>
      <x:c r="I16" s="13"/>
      <x:c r="J16" s="13"/>
      <x:c r="K16" s="13"/>
      <x:c r="L16" s="13"/>
      <x:c r="M16" s="13"/>
      <x:c r="N16" s="13"/>
      <x:c r="O16" s="13"/>
      <x:c r="P16" s="13"/>
      <x:c r="Q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3"/>
      <x:c r="Q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13"/>
      <x:c r="Q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  <x:c r="P117" s="13"/>
      <x:c r="Q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  <x:c r="P126" s="13"/>
      <x:c r="Q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  <x:c r="P130" s="13"/>
      <x:c r="Q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  <x:c r="P132" s="13"/>
      <x:c r="Q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  <x:c r="P136" s="13"/>
      <x:c r="Q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  <x:c r="P137" s="13"/>
      <x:c r="Q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  <x:c r="P138" s="13"/>
      <x:c r="Q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  <x:c r="P140" s="13"/>
      <x:c r="Q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  <x:c r="P141" s="13"/>
      <x:c r="Q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  <x:c r="P142" s="13"/>
      <x:c r="Q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  <x:c r="P144" s="13"/>
      <x:c r="Q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  <x:c r="P145" s="13"/>
      <x:c r="Q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  <x:c r="P146" s="13"/>
      <x:c r="Q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  <x:c r="P147" s="13"/>
      <x:c r="Q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  <x:c r="P148" s="13"/>
      <x:c r="Q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  <x:c r="P149" s="13"/>
      <x:c r="Q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  <x:c r="P150" s="13"/>
      <x:c r="Q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  <x:c r="P151" s="13"/>
      <x:c r="Q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  <x:c r="P152" s="13"/>
      <x:c r="Q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  <x:c r="P153" s="13"/>
      <x:c r="Q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  <x:c r="P154" s="13"/>
      <x:c r="Q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  <x:c r="P155" s="13"/>
      <x:c r="Q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  <x:c r="P156" s="13"/>
      <x:c r="Q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  <x:c r="P157" s="13"/>
      <x:c r="Q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  <x:c r="P158" s="13"/>
      <x:c r="Q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  <x:c r="P159" s="13"/>
      <x:c r="Q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  <x:c r="P160" s="13"/>
      <x:c r="Q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  <x:c r="P161" s="13"/>
      <x:c r="Q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  <x:c r="P162" s="13"/>
      <x:c r="Q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  <x:c r="P164" s="13"/>
      <x:c r="Q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  <x:c r="P165" s="13"/>
      <x:c r="Q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  <x:c r="P166" s="13"/>
      <x:c r="Q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  <x:c r="P167" s="13"/>
      <x:c r="Q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  <x:c r="P168" s="13"/>
      <x:c r="Q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  <x:c r="P169" s="13"/>
      <x:c r="Q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  <x:c r="P170" s="13"/>
      <x:c r="Q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  <x:c r="P171" s="13"/>
      <x:c r="Q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  <x:c r="P172" s="13"/>
      <x:c r="Q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  <x:c r="P173" s="13"/>
      <x:c r="Q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  <x:c r="P174" s="13"/>
      <x:c r="Q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  <x:c r="P175" s="13"/>
      <x:c r="Q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  <x:c r="P176" s="13"/>
      <x:c r="Q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  <x:c r="P177" s="13"/>
      <x:c r="Q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  <x:c r="P178" s="13"/>
      <x:c r="Q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  <x:c r="P179" s="13"/>
      <x:c r="Q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  <x:c r="P180" s="13"/>
      <x:c r="Q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  <x:c r="P181" s="13"/>
      <x:c r="Q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  <x:c r="P182" s="13"/>
      <x:c r="Q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  <x:c r="P183" s="13"/>
      <x:c r="Q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  <x:c r="P184" s="13"/>
      <x:c r="Q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  <x:c r="P185" s="13"/>
      <x:c r="Q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  <x:c r="P186" s="13"/>
      <x:c r="Q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  <x:c r="P187" s="13"/>
      <x:c r="Q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13"/>
      <x:c r="Q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  <x:c r="P189" s="13"/>
      <x:c r="Q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  <x:c r="P190" s="13"/>
      <x:c r="Q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  <x:c r="P191" s="13"/>
      <x:c r="Q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  <x:c r="P192" s="13"/>
      <x:c r="Q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  <x:c r="P193" s="13"/>
      <x:c r="Q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  <x:c r="P194" s="13"/>
      <x:c r="Q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  <x:c r="P195" s="13"/>
      <x:c r="Q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  <x:c r="P196" s="13"/>
      <x:c r="Q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  <x:c r="P197" s="13"/>
      <x:c r="Q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  <x:c r="P198" s="13"/>
      <x:c r="Q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  <x:c r="P199" s="13"/>
      <x:c r="Q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  <x:c r="P200" s="13"/>
      <x:c r="Q200" s="13"/>
    </x:row>
  </x:sheetData>
  <x:pageMargins left="0.7" right="0.7" top="0.75" bottom="0.75" header="0.3" footer="0.3"/>
  <x:tableParts count="1">
    <x:tablePart xmlns:r="http://schemas.openxmlformats.org/officeDocument/2006/relationships" r:id="R239db4fe21054ea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4" hidden="0" customWidth="1"/>
    <x:col min="4" max="4" width="12" hidden="0" customWidth="1"/>
    <x:col min="5" max="5" width="28" hidden="0" customWidth="1"/>
  </x:cols>
  <x:sheetData>
    <x:row r="1" ht="24" customHeight="1">
      <x:c r="A1" s="12" t="str">
        <x:v>Charges détaillées</x:v>
      </x:c>
      <x:c r="B1" s="12" t="str"/>
      <x:c r="C1" s="12" t="str"/>
      <x:c r="D1" s="12" t="str"/>
      <x:c r="E1" s="12" t="str"/>
      <x:c r="F1" s="12" t="str"/>
      <x:c r="G1" s="12" t="str"/>
      <x:c r="H1" s="12" t="str"/>
      <x:c r="I1" s="13"/>
      <x:c r="J1" s="13"/>
      <x:c r="K1" s="13"/>
      <x:c r="L1" s="13"/>
      <x:c r="M1" s="13"/>
      <x:c r="N1" s="13"/>
      <x:c r="O1" s="13"/>
      <x:c r="P1" s="13"/>
      <x:c r="Q1" s="13"/>
    </x:row>
    <x:row r="2" ht="20" customHeight="1">
      <x:c r="A2" s="14" t="str">
        <x:v>Format long pour tester regroupements, répartitions et graphiques par catégorie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3"/>
      <x:c r="J2" s="13"/>
      <x:c r="K2" s="13"/>
      <x:c r="L2" s="13"/>
      <x:c r="M2" s="13"/>
      <x:c r="N2" s="13"/>
      <x:c r="O2" s="13"/>
      <x:c r="P2" s="13"/>
      <x:c r="Q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</x:row>
    <x:row r="4">
      <x:c r="A4" s="15" t="str">
        <x:v>Mois</x:v>
      </x:c>
      <x:c r="B4" s="15" t="str">
        <x:v>Catégorie</x:v>
      </x:c>
      <x:c r="C4" s="15" t="str">
        <x:v>Montant</x:v>
      </x:c>
      <x:c r="D4" s="15" t="str">
        <x:v>Type</x:v>
      </x:c>
      <x:c r="E4" s="15" t="str">
        <x:v>Note</x:v>
      </x:c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</x:row>
    <x:row r="5">
      <x:c r="A5" s="16" t="str">
        <x:v>Jan 2025</x:v>
      </x:c>
      <x:c r="B5" s="16" t="str">
        <x:v>Achats/prestataires</x:v>
      </x:c>
      <x:c r="C5" s="17" t="n">
        <x:v>24500</x:v>
      </x:c>
      <x:c r="D5" s="16" t="str">
        <x:v>Variable</x:v>
      </x:c>
      <x:c r="E5" s="16" t="str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</x:row>
    <x:row r="6">
      <x:c r="A6" s="16" t="str">
        <x:v>Jan 2025</x:v>
      </x:c>
      <x:c r="B6" s="16" t="str">
        <x:v>Salaires</x:v>
      </x:c>
      <x:c r="C6" s="17" t="n">
        <x:v>42000</x:v>
      </x:c>
      <x:c r="D6" s="16" t="str">
        <x:v>Fixe</x:v>
      </x:c>
      <x:c r="E6" s="16" t="str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</x:row>
    <x:row r="7">
      <x:c r="A7" s="16" t="str">
        <x:v>Jan 2025</x:v>
      </x:c>
      <x:c r="B7" s="16" t="str">
        <x:v>Marketing</x:v>
      </x:c>
      <x:c r="C7" s="17" t="n">
        <x:v>8200</x:v>
      </x:c>
      <x:c r="D7" s="16" t="str">
        <x:v>Variable</x:v>
      </x:c>
      <x:c r="E7" s="16" t="str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</x:row>
    <x:row r="8">
      <x:c r="A8" s="16" t="str">
        <x:v>Jan 2025</x:v>
      </x:c>
      <x:c r="B8" s="16" t="str">
        <x:v>Loyer</x:v>
      </x:c>
      <x:c r="C8" s="17" t="n">
        <x:v>7200</x:v>
      </x:c>
      <x:c r="D8" s="16" t="str">
        <x:v>Fixe</x:v>
      </x:c>
      <x:c r="E8" s="16" t="str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</x:row>
    <x:row r="9">
      <x:c r="A9" s="16" t="str">
        <x:v>Jan 2025</x:v>
      </x:c>
      <x:c r="B9" s="16" t="str">
        <x:v>Logiciels</x:v>
      </x:c>
      <x:c r="C9" s="17" t="n">
        <x:v>3600</x:v>
      </x:c>
      <x:c r="D9" s="16" t="str">
        <x:v>Fixe</x:v>
      </x:c>
      <x:c r="E9" s="16" t="str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</x:row>
    <x:row r="10">
      <x:c r="A10" s="16" t="str">
        <x:v>Jan 2025</x:v>
      </x:c>
      <x:c r="B10" s="16" t="str">
        <x:v>Frais bancaires</x:v>
      </x:c>
      <x:c r="C10" s="17" t="n">
        <x:v>850</x:v>
      </x:c>
      <x:c r="D10" s="16" t="str">
        <x:v>Variable</x:v>
      </x:c>
      <x:c r="E10" s="16" t="str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</x:row>
    <x:row r="11">
      <x:c r="A11" s="16" t="str">
        <x:v>Fév 2025</x:v>
      </x:c>
      <x:c r="B11" s="16" t="str">
        <x:v>Achats/prestataires</x:v>
      </x:c>
      <x:c r="C11" s="17" t="n">
        <x:v>25200</x:v>
      </x:c>
      <x:c r="D11" s="16" t="str">
        <x:v>Variable</x:v>
      </x:c>
      <x:c r="E11" s="16" t="str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</x:row>
    <x:row r="12">
      <x:c r="A12" s="16" t="str">
        <x:v>Fév 2025</x:v>
      </x:c>
      <x:c r="B12" s="16" t="str">
        <x:v>Salaires</x:v>
      </x:c>
      <x:c r="C12" s="17" t="n">
        <x:v>42100</x:v>
      </x:c>
      <x:c r="D12" s="16" t="str">
        <x:v>Fixe</x:v>
      </x:c>
      <x:c r="E12" s="16" t="str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</x:row>
    <x:row r="13">
      <x:c r="A13" s="16" t="str">
        <x:v>Fév 2025</x:v>
      </x:c>
      <x:c r="B13" s="16" t="str">
        <x:v>Marketing</x:v>
      </x:c>
      <x:c r="C13" s="17" t="n">
        <x:v>7800</x:v>
      </x:c>
      <x:c r="D13" s="16" t="str">
        <x:v>Variable</x:v>
      </x:c>
      <x:c r="E13" s="16" t="str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</x:row>
    <x:row r="14">
      <x:c r="A14" s="16" t="str">
        <x:v>Fév 2025</x:v>
      </x:c>
      <x:c r="B14" s="16" t="str">
        <x:v>Loyer</x:v>
      </x:c>
      <x:c r="C14" s="17" t="n">
        <x:v>7200</x:v>
      </x:c>
      <x:c r="D14" s="16" t="str">
        <x:v>Fixe</x:v>
      </x:c>
      <x:c r="E14" s="16" t="str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</x:row>
    <x:row r="15">
      <x:c r="A15" s="16" t="str">
        <x:v>Fév 2025</x:v>
      </x:c>
      <x:c r="B15" s="16" t="str">
        <x:v>Logiciels</x:v>
      </x:c>
      <x:c r="C15" s="17" t="n">
        <x:v>3650</x:v>
      </x:c>
      <x:c r="D15" s="16" t="str">
        <x:v>Fixe</x:v>
      </x:c>
      <x:c r="E15" s="16" t="str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</x:row>
    <x:row r="16">
      <x:c r="A16" s="16" t="str">
        <x:v>Fév 2025</x:v>
      </x:c>
      <x:c r="B16" s="16" t="str">
        <x:v>Frais bancaires</x:v>
      </x:c>
      <x:c r="C16" s="17" t="n">
        <x:v>910</x:v>
      </x:c>
      <x:c r="D16" s="16" t="str">
        <x:v>Variable</x:v>
      </x:c>
      <x:c r="E16" s="16" t="str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</x:row>
    <x:row r="17">
      <x:c r="A17" s="16" t="str">
        <x:v>Mar 2025</x:v>
      </x:c>
      <x:c r="B17" s="16" t="str">
        <x:v>Achats/prestataires</x:v>
      </x:c>
      <x:c r="C17" s="17" t="n">
        <x:v>26800</x:v>
      </x:c>
      <x:c r="D17" s="16" t="str">
        <x:v>Variable</x:v>
      </x:c>
      <x:c r="E17" s="16" t="str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</x:row>
    <x:row r="18">
      <x:c r="A18" s="16" t="str">
        <x:v>Mar 2025</x:v>
      </x:c>
      <x:c r="B18" s="16" t="str">
        <x:v>Salaires</x:v>
      </x:c>
      <x:c r="C18" s="17" t="n">
        <x:v>43000</x:v>
      </x:c>
      <x:c r="D18" s="16" t="str">
        <x:v>Fixe</x:v>
      </x:c>
      <x:c r="E18" s="16" t="str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</x:row>
    <x:row r="19">
      <x:c r="A19" s="16" t="str">
        <x:v>Mar 2025</x:v>
      </x:c>
      <x:c r="B19" s="16" t="str">
        <x:v>Marketing</x:v>
      </x:c>
      <x:c r="C19" s="17" t="n">
        <x:v>9200</x:v>
      </x:c>
      <x:c r="D19" s="16" t="str">
        <x:v>Variable</x:v>
      </x:c>
      <x:c r="E19" s="16" t="str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</x:row>
    <x:row r="20">
      <x:c r="A20" s="16" t="str">
        <x:v>Mar 2025</x:v>
      </x:c>
      <x:c r="B20" s="16" t="str">
        <x:v>Loyer</x:v>
      </x:c>
      <x:c r="C20" s="17" t="n">
        <x:v>7200</x:v>
      </x:c>
      <x:c r="D20" s="16" t="str">
        <x:v>Fixe</x:v>
      </x:c>
      <x:c r="E20" s="16" t="str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</x:row>
    <x:row r="21">
      <x:c r="A21" s="16" t="str">
        <x:v>Mar 2025</x:v>
      </x:c>
      <x:c r="B21" s="16" t="str">
        <x:v>Logiciels</x:v>
      </x:c>
      <x:c r="C21" s="17" t="n">
        <x:v>3700</x:v>
      </x:c>
      <x:c r="D21" s="16" t="str">
        <x:v>Fixe</x:v>
      </x:c>
      <x:c r="E21" s="16" t="str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</x:row>
    <x:row r="22">
      <x:c r="A22" s="16" t="str">
        <x:v>Mar 2025</x:v>
      </x:c>
      <x:c r="B22" s="16" t="str">
        <x:v>Frais bancaires</x:v>
      </x:c>
      <x:c r="C22" s="17" t="n">
        <x:v>980</x:v>
      </x:c>
      <x:c r="D22" s="16" t="str">
        <x:v>Variable</x:v>
      </x:c>
      <x:c r="E22" s="16" t="str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</x:row>
    <x:row r="23">
      <x:c r="A23" s="16" t="str">
        <x:v>Avr 2025</x:v>
      </x:c>
      <x:c r="B23" s="16" t="str">
        <x:v>Achats/prestataires</x:v>
      </x:c>
      <x:c r="C23" s="17" t="n">
        <x:v>24800</x:v>
      </x:c>
      <x:c r="D23" s="16" t="str">
        <x:v>Variable</x:v>
      </x:c>
      <x:c r="E23" s="16" t="str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</x:row>
    <x:row r="24">
      <x:c r="A24" s="16" t="str">
        <x:v>Avr 2025</x:v>
      </x:c>
      <x:c r="B24" s="16" t="str">
        <x:v>Salaires</x:v>
      </x:c>
      <x:c r="C24" s="17" t="n">
        <x:v>43200</x:v>
      </x:c>
      <x:c r="D24" s="16" t="str">
        <x:v>Fixe</x:v>
      </x:c>
      <x:c r="E24" s="16" t="str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</x:row>
    <x:row r="25">
      <x:c r="A25" s="16" t="str">
        <x:v>Avr 2025</x:v>
      </x:c>
      <x:c r="B25" s="16" t="str">
        <x:v>Marketing</x:v>
      </x:c>
      <x:c r="C25" s="17" t="n">
        <x:v>7600</x:v>
      </x:c>
      <x:c r="D25" s="16" t="str">
        <x:v>Variable</x:v>
      </x:c>
      <x:c r="E25" s="16" t="str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</x:row>
    <x:row r="26">
      <x:c r="A26" s="16" t="str">
        <x:v>Avr 2025</x:v>
      </x:c>
      <x:c r="B26" s="16" t="str">
        <x:v>Loyer</x:v>
      </x:c>
      <x:c r="C26" s="17" t="n">
        <x:v>7200</x:v>
      </x:c>
      <x:c r="D26" s="16" t="str">
        <x:v>Fixe</x:v>
      </x:c>
      <x:c r="E26" s="16" t="str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</x:row>
    <x:row r="27">
      <x:c r="A27" s="16" t="str">
        <x:v>Avr 2025</x:v>
      </x:c>
      <x:c r="B27" s="16" t="str">
        <x:v>Logiciels</x:v>
      </x:c>
      <x:c r="C27" s="17" t="n">
        <x:v>3750</x:v>
      </x:c>
      <x:c r="D27" s="16" t="str">
        <x:v>Fixe</x:v>
      </x:c>
      <x:c r="E27" s="16" t="str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</x:row>
    <x:row r="28">
      <x:c r="A28" s="16" t="str">
        <x:v>Avr 2025</x:v>
      </x:c>
      <x:c r="B28" s="16" t="str">
        <x:v>Frais bancaires</x:v>
      </x:c>
      <x:c r="C28" s="17" t="n">
        <x:v>880</x:v>
      </x:c>
      <x:c r="D28" s="16" t="str">
        <x:v>Variable</x:v>
      </x:c>
      <x:c r="E28" s="16" t="str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</x:row>
    <x:row r="29">
      <x:c r="A29" s="16" t="str">
        <x:v>Mai 2025</x:v>
      </x:c>
      <x:c r="B29" s="16" t="str">
        <x:v>Achats/prestataires</x:v>
      </x:c>
      <x:c r="C29" s="17" t="n">
        <x:v>28600</x:v>
      </x:c>
      <x:c r="D29" s="16" t="str">
        <x:v>Variable</x:v>
      </x:c>
      <x:c r="E29" s="16" t="str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</x:row>
    <x:row r="30">
      <x:c r="A30" s="16" t="str">
        <x:v>Mai 2025</x:v>
      </x:c>
      <x:c r="B30" s="16" t="str">
        <x:v>Salaires</x:v>
      </x:c>
      <x:c r="C30" s="17" t="n">
        <x:v>43800</x:v>
      </x:c>
      <x:c r="D30" s="16" t="str">
        <x:v>Fixe</x:v>
      </x:c>
      <x:c r="E30" s="16" t="str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</x:row>
    <x:row r="31">
      <x:c r="A31" s="16" t="str">
        <x:v>Mai 2025</x:v>
      </x:c>
      <x:c r="B31" s="16" t="str">
        <x:v>Marketing</x:v>
      </x:c>
      <x:c r="C31" s="17" t="n">
        <x:v>10400</x:v>
      </x:c>
      <x:c r="D31" s="16" t="str">
        <x:v>Variable</x:v>
      </x:c>
      <x:c r="E31" s="16" t="str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</x:row>
    <x:row r="32">
      <x:c r="A32" s="16" t="str">
        <x:v>Mai 2025</x:v>
      </x:c>
      <x:c r="B32" s="16" t="str">
        <x:v>Loyer</x:v>
      </x:c>
      <x:c r="C32" s="17" t="n">
        <x:v>7200</x:v>
      </x:c>
      <x:c r="D32" s="16" t="str">
        <x:v>Fixe</x:v>
      </x:c>
      <x:c r="E32" s="16" t="str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</x:row>
    <x:row r="33">
      <x:c r="A33" s="16" t="str">
        <x:v>Mai 2025</x:v>
      </x:c>
      <x:c r="B33" s="16" t="str">
        <x:v>Logiciels</x:v>
      </x:c>
      <x:c r="C33" s="17" t="n">
        <x:v>3820</x:v>
      </x:c>
      <x:c r="D33" s="16" t="str">
        <x:v>Fixe</x:v>
      </x:c>
      <x:c r="E33" s="16" t="str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</x:row>
    <x:row r="34">
      <x:c r="A34" s="16" t="str">
        <x:v>Mai 2025</x:v>
      </x:c>
      <x:c r="B34" s="16" t="str">
        <x:v>Frais bancaires</x:v>
      </x:c>
      <x:c r="C34" s="17" t="n">
        <x:v>1040</x:v>
      </x:c>
      <x:c r="D34" s="16" t="str">
        <x:v>Variable</x:v>
      </x:c>
      <x:c r="E34" s="16" t="str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</x:row>
    <x:row r="35">
      <x:c r="A35" s="16" t="str">
        <x:v>Juin 2025</x:v>
      </x:c>
      <x:c r="B35" s="16" t="str">
        <x:v>Achats/prestataires</x:v>
      </x:c>
      <x:c r="C35" s="17" t="n">
        <x:v>31600</x:v>
      </x:c>
      <x:c r="D35" s="16" t="str">
        <x:v>Variable</x:v>
      </x:c>
      <x:c r="E35" s="16" t="str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</x:row>
    <x:row r="36">
      <x:c r="A36" s="16" t="str">
        <x:v>Juin 2025</x:v>
      </x:c>
      <x:c r="B36" s="16" t="str">
        <x:v>Salaires</x:v>
      </x:c>
      <x:c r="C36" s="17" t="n">
        <x:v>44000</x:v>
      </x:c>
      <x:c r="D36" s="16" t="str">
        <x:v>Fixe</x:v>
      </x:c>
      <x:c r="E36" s="16" t="str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</x:row>
    <x:row r="37">
      <x:c r="A37" s="16" t="str">
        <x:v>Juin 2025</x:v>
      </x:c>
      <x:c r="B37" s="16" t="str">
        <x:v>Marketing</x:v>
      </x:c>
      <x:c r="C37" s="17" t="n">
        <x:v>24500</x:v>
      </x:c>
      <x:c r="D37" s="16" t="str">
        <x:v>Variable</x:v>
      </x:c>
      <x:c r="E37" s="16" t="str">
        <x:v>Campagne exceptionnelle</x:v>
      </x:c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</x:row>
    <x:row r="38">
      <x:c r="A38" s="16" t="str">
        <x:v>Juin 2025</x:v>
      </x:c>
      <x:c r="B38" s="16" t="str">
        <x:v>Loyer</x:v>
      </x:c>
      <x:c r="C38" s="17" t="n">
        <x:v>7200</x:v>
      </x:c>
      <x:c r="D38" s="16" t="str">
        <x:v>Fixe</x:v>
      </x:c>
      <x:c r="E38" s="16" t="str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</x:row>
    <x:row r="39">
      <x:c r="A39" s="16" t="str">
        <x:v>Juin 2025</x:v>
      </x:c>
      <x:c r="B39" s="16" t="str">
        <x:v>Logiciels</x:v>
      </x:c>
      <x:c r="C39" s="17" t="n">
        <x:v>3900</x:v>
      </x:c>
      <x:c r="D39" s="16" t="str">
        <x:v>Fixe</x:v>
      </x:c>
      <x:c r="E39" s="16" t="str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</x:row>
    <x:row r="40">
      <x:c r="A40" s="16" t="str">
        <x:v>Juin 2025</x:v>
      </x:c>
      <x:c r="B40" s="16" t="str">
        <x:v>Frais bancaires</x:v>
      </x:c>
      <x:c r="C40" s="17" t="n">
        <x:v>1180</x:v>
      </x:c>
      <x:c r="D40" s="16" t="str">
        <x:v>Variable</x:v>
      </x:c>
      <x:c r="E40" s="16" t="str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</x:row>
    <x:row r="41">
      <x:c r="A41" s="16" t="str">
        <x:v>Juil 2025</x:v>
      </x:c>
      <x:c r="B41" s="16" t="str">
        <x:v>Achats/prestataires</x:v>
      </x:c>
      <x:c r="C41" s="17" t="n">
        <x:v>29800</x:v>
      </x:c>
      <x:c r="D41" s="16" t="str">
        <x:v>Variable</x:v>
      </x:c>
      <x:c r="E41" s="16" t="str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</x:row>
    <x:row r="42">
      <x:c r="A42" s="16" t="str">
        <x:v>Juil 2025</x:v>
      </x:c>
      <x:c r="B42" s="16" t="str">
        <x:v>Salaires</x:v>
      </x:c>
      <x:c r="C42" s="17" t="n">
        <x:v>44800</x:v>
      </x:c>
      <x:c r="D42" s="16" t="str">
        <x:v>Fixe</x:v>
      </x:c>
      <x:c r="E42" s="16" t="str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</x:row>
    <x:row r="43">
      <x:c r="A43" s="16" t="str">
        <x:v>Juil 2025</x:v>
      </x:c>
      <x:c r="B43" s="16" t="str">
        <x:v>Marketing</x:v>
      </x:c>
      <x:c r="C43" s="17" t="n">
        <x:v>11200</x:v>
      </x:c>
      <x:c r="D43" s="16" t="str">
        <x:v>Variable</x:v>
      </x:c>
      <x:c r="E43" s="16" t="str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</x:row>
    <x:row r="44">
      <x:c r="A44" s="16" t="str">
        <x:v>Juil 2025</x:v>
      </x:c>
      <x:c r="B44" s="16" t="str">
        <x:v>Loyer</x:v>
      </x:c>
      <x:c r="C44" s="17" t="n">
        <x:v>7200</x:v>
      </x:c>
      <x:c r="D44" s="16" t="str">
        <x:v>Fixe</x:v>
      </x:c>
      <x:c r="E44" s="16" t="str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</x:row>
    <x:row r="45">
      <x:c r="A45" s="16" t="str">
        <x:v>Juil 2025</x:v>
      </x:c>
      <x:c r="B45" s="16" t="str">
        <x:v>Logiciels</x:v>
      </x:c>
      <x:c r="C45" s="17" t="n">
        <x:v>4020</x:v>
      </x:c>
      <x:c r="D45" s="16" t="str">
        <x:v>Fixe</x:v>
      </x:c>
      <x:c r="E45" s="16" t="str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</x:row>
    <x:row r="46">
      <x:c r="A46" s="16" t="str">
        <x:v>Juil 2025</x:v>
      </x:c>
      <x:c r="B46" s="16" t="str">
        <x:v>Frais bancaires</x:v>
      </x:c>
      <x:c r="C46" s="17" t="n">
        <x:v>1090</x:v>
      </x:c>
      <x:c r="D46" s="16" t="str">
        <x:v>Variable</x:v>
      </x:c>
      <x:c r="E46" s="16" t="str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</x:row>
    <x:row r="47">
      <x:c r="A47" s="16" t="str">
        <x:v>Août 2025</x:v>
      </x:c>
      <x:c r="B47" s="16" t="str">
        <x:v>Achats/prestataires</x:v>
      </x:c>
      <x:c r="C47" s="17" t="n">
        <x:v>21400</x:v>
      </x:c>
      <x:c r="D47" s="16" t="str">
        <x:v>Variable</x:v>
      </x:c>
      <x:c r="E47" s="16" t="str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</x:row>
    <x:row r="48">
      <x:c r="A48" s="16" t="str">
        <x:v>Août 2025</x:v>
      </x:c>
      <x:c r="B48" s="16" t="str">
        <x:v>Salaires</x:v>
      </x:c>
      <x:c r="C48" s="17" t="n">
        <x:v>44600</x:v>
      </x:c>
      <x:c r="D48" s="16" t="str">
        <x:v>Fixe</x:v>
      </x:c>
      <x:c r="E48" s="16" t="str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</x:row>
    <x:row r="49">
      <x:c r="A49" s="16" t="str">
        <x:v>Août 2025</x:v>
      </x:c>
      <x:c r="B49" s="16" t="str">
        <x:v>Marketing</x:v>
      </x:c>
      <x:c r="C49" s="17" t="n">
        <x:v>6200</x:v>
      </x:c>
      <x:c r="D49" s="16" t="str">
        <x:v>Variable</x:v>
      </x:c>
      <x:c r="E49" s="16" t="str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</x:row>
    <x:row r="50">
      <x:c r="A50" s="16" t="str">
        <x:v>Août 2025</x:v>
      </x:c>
      <x:c r="B50" s="16" t="str">
        <x:v>Loyer</x:v>
      </x:c>
      <x:c r="C50" s="17" t="n">
        <x:v>7200</x:v>
      </x:c>
      <x:c r="D50" s="16" t="str">
        <x:v>Fixe</x:v>
      </x:c>
      <x:c r="E50" s="16" t="str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</x:row>
    <x:row r="51">
      <x:c r="A51" s="16" t="str">
        <x:v>Août 2025</x:v>
      </x:c>
      <x:c r="B51" s="16" t="str">
        <x:v>Logiciels</x:v>
      </x:c>
      <x:c r="C51" s="17" t="n">
        <x:v>3980</x:v>
      </x:c>
      <x:c r="D51" s="16" t="str">
        <x:v>Fixe</x:v>
      </x:c>
      <x:c r="E51" s="16" t="str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</x:row>
    <x:row r="52">
      <x:c r="A52" s="16" t="str">
        <x:v>Août 2025</x:v>
      </x:c>
      <x:c r="B52" s="16" t="str">
        <x:v>Frais bancaires</x:v>
      </x:c>
      <x:c r="C52" s="17" t="n">
        <x:v>760</x:v>
      </x:c>
      <x:c r="D52" s="16" t="str">
        <x:v>Variable</x:v>
      </x:c>
      <x:c r="E52" s="16" t="str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</x:row>
    <x:row r="53">
      <x:c r="A53" s="16" t="str">
        <x:v>Sep 2025</x:v>
      </x:c>
      <x:c r="B53" s="16" t="str">
        <x:v>Achats/prestataires</x:v>
      </x:c>
      <x:c r="C53" s="17" t="n">
        <x:v>34200</x:v>
      </x:c>
      <x:c r="D53" s="16" t="str">
        <x:v>Variable</x:v>
      </x:c>
      <x:c r="E53" s="16" t="str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</x:row>
    <x:row r="54">
      <x:c r="A54" s="16" t="str">
        <x:v>Sep 2025</x:v>
      </x:c>
      <x:c r="B54" s="16" t="str">
        <x:v>Salaires</x:v>
      </x:c>
      <x:c r="C54" s="17" t="n">
        <x:v>45500</x:v>
      </x:c>
      <x:c r="D54" s="16" t="str">
        <x:v>Fixe</x:v>
      </x:c>
      <x:c r="E54" s="16" t="str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</x:row>
    <x:row r="55">
      <x:c r="A55" s="16" t="str">
        <x:v>Sep 2025</x:v>
      </x:c>
      <x:c r="B55" s="16" t="str">
        <x:v>Marketing</x:v>
      </x:c>
      <x:c r="C55" s="17" t="n">
        <x:v>12800</x:v>
      </x:c>
      <x:c r="D55" s="16" t="str">
        <x:v>Variable</x:v>
      </x:c>
      <x:c r="E55" s="16" t="str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</x:row>
    <x:row r="56">
      <x:c r="A56" s="16" t="str">
        <x:v>Sep 2025</x:v>
      </x:c>
      <x:c r="B56" s="16" t="str">
        <x:v>Loyer</x:v>
      </x:c>
      <x:c r="C56" s="17" t="n">
        <x:v>7300</x:v>
      </x:c>
      <x:c r="D56" s="16" t="str">
        <x:v>Fixe</x:v>
      </x:c>
      <x:c r="E56" s="16" t="str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</x:row>
    <x:row r="57">
      <x:c r="A57" s="16" t="str">
        <x:v>Sep 2025</x:v>
      </x:c>
      <x:c r="B57" s="16" t="str">
        <x:v>Logiciels</x:v>
      </x:c>
      <x:c r="C57" s="17" t="n">
        <x:v>4100</x:v>
      </x:c>
      <x:c r="D57" s="16" t="str">
        <x:v>Fixe</x:v>
      </x:c>
      <x:c r="E57" s="16" t="str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</x:row>
    <x:row r="58">
      <x:c r="A58" s="16" t="str">
        <x:v>Sep 2025</x:v>
      </x:c>
      <x:c r="B58" s="16" t="str">
        <x:v>Frais bancaires</x:v>
      </x:c>
      <x:c r="C58" s="17" t="n">
        <x:v>1240</x:v>
      </x:c>
      <x:c r="D58" s="16" t="str">
        <x:v>Variable</x:v>
      </x:c>
      <x:c r="E58" s="16" t="str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</x:row>
    <x:row r="59">
      <x:c r="A59" s="16" t="str">
        <x:v>Oct 2025</x:v>
      </x:c>
      <x:c r="B59" s="16" t="str">
        <x:v>Achats/prestataires</x:v>
      </x:c>
      <x:c r="C59" s="17" t="n">
        <x:v>36800</x:v>
      </x:c>
      <x:c r="D59" s="16" t="str">
        <x:v>Variable</x:v>
      </x:c>
      <x:c r="E59" s="16" t="str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</x:row>
    <x:row r="60">
      <x:c r="A60" s="16" t="str">
        <x:v>Oct 2025</x:v>
      </x:c>
      <x:c r="B60" s="16" t="str">
        <x:v>Salaires</x:v>
      </x:c>
      <x:c r="C60" s="17" t="n">
        <x:v>46200</x:v>
      </x:c>
      <x:c r="D60" s="16" t="str">
        <x:v>Fixe</x:v>
      </x:c>
      <x:c r="E60" s="16" t="str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</x:row>
    <x:row r="61">
      <x:c r="A61" s="16" t="str">
        <x:v>Oct 2025</x:v>
      </x:c>
      <x:c r="B61" s="16" t="str">
        <x:v>Marketing</x:v>
      </x:c>
      <x:c r="C61" s="17" t="n">
        <x:v>13600</x:v>
      </x:c>
      <x:c r="D61" s="16" t="str">
        <x:v>Variable</x:v>
      </x:c>
      <x:c r="E61" s="16" t="str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</x:row>
    <x:row r="62">
      <x:c r="A62" s="16" t="str">
        <x:v>Oct 2025</x:v>
      </x:c>
      <x:c r="B62" s="16" t="str">
        <x:v>Loyer</x:v>
      </x:c>
      <x:c r="C62" s="17" t="n">
        <x:v>7300</x:v>
      </x:c>
      <x:c r="D62" s="16" t="str">
        <x:v>Fixe</x:v>
      </x:c>
      <x:c r="E62" s="16" t="str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</x:row>
    <x:row r="63">
      <x:c r="A63" s="16" t="str">
        <x:v>Oct 2025</x:v>
      </x:c>
      <x:c r="B63" s="16" t="str">
        <x:v>Logiciels</x:v>
      </x:c>
      <x:c r="C63" s="17" t="n">
        <x:v>4200</x:v>
      </x:c>
      <x:c r="D63" s="16" t="str">
        <x:v>Fixe</x:v>
      </x:c>
      <x:c r="E63" s="16" t="str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</x:row>
    <x:row r="64">
      <x:c r="A64" s="16" t="str">
        <x:v>Oct 2025</x:v>
      </x:c>
      <x:c r="B64" s="16" t="str">
        <x:v>Frais bancaires</x:v>
      </x:c>
      <x:c r="C64" s="17" t="n">
        <x:v>1320</x:v>
      </x:c>
      <x:c r="D64" s="16" t="str">
        <x:v>Variable</x:v>
      </x:c>
      <x:c r="E64" s="16" t="str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</x:row>
    <x:row r="65">
      <x:c r="A65" s="16" t="str">
        <x:v>Nov 2025</x:v>
      </x:c>
      <x:c r="B65" s="16" t="str">
        <x:v>Achats/prestataires</x:v>
      </x:c>
      <x:c r="C65" s="17" t="n">
        <x:v>35800</x:v>
      </x:c>
      <x:c r="D65" s="16" t="str">
        <x:v>Variable</x:v>
      </x:c>
      <x:c r="E65" s="16" t="str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</x:row>
    <x:row r="66">
      <x:c r="A66" s="16" t="str">
        <x:v>Nov 2025</x:v>
      </x:c>
      <x:c r="B66" s="16" t="str">
        <x:v>Salaires</x:v>
      </x:c>
      <x:c r="C66" s="17" t="n">
        <x:v>47000</x:v>
      </x:c>
      <x:c r="D66" s="16" t="str">
        <x:v>Fixe</x:v>
      </x:c>
      <x:c r="E66" s="16" t="str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</x:row>
    <x:row r="67">
      <x:c r="A67" s="16" t="str">
        <x:v>Nov 2025</x:v>
      </x:c>
      <x:c r="B67" s="16" t="str">
        <x:v>Marketing</x:v>
      </x:c>
      <x:c r="C67" s="17" t="n">
        <x:v>18800</x:v>
      </x:c>
      <x:c r="D67" s="16" t="str">
        <x:v>Variable</x:v>
      </x:c>
      <x:c r="E67" s="16" t="str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</x:row>
    <x:row r="68">
      <x:c r="A68" s="16" t="str">
        <x:v>Nov 2025</x:v>
      </x:c>
      <x:c r="B68" s="16" t="str">
        <x:v>Loyer</x:v>
      </x:c>
      <x:c r="C68" s="17" t="n">
        <x:v>7300</x:v>
      </x:c>
      <x:c r="D68" s="16" t="str">
        <x:v>Fixe</x:v>
      </x:c>
      <x:c r="E68" s="16" t="str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</x:row>
    <x:row r="69">
      <x:c r="A69" s="16" t="str">
        <x:v>Nov 2025</x:v>
      </x:c>
      <x:c r="B69" s="16" t="str">
        <x:v>Logiciels</x:v>
      </x:c>
      <x:c r="C69" s="17" t="n">
        <x:v>4300</x:v>
      </x:c>
      <x:c r="D69" s="16" t="str">
        <x:v>Fixe</x:v>
      </x:c>
      <x:c r="E69" s="16" t="str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</x:row>
    <x:row r="70">
      <x:c r="A70" s="16" t="str">
        <x:v>Nov 2025</x:v>
      </x:c>
      <x:c r="B70" s="16" t="str">
        <x:v>Frais bancaires</x:v>
      </x:c>
      <x:c r="C70" s="17" t="n">
        <x:v>1420</x:v>
      </x:c>
      <x:c r="D70" s="16" t="str">
        <x:v>Variable</x:v>
      </x:c>
      <x:c r="E70" s="16" t="str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</x:row>
    <x:row r="71">
      <x:c r="A71" s="16" t="str">
        <x:v>Déc 2025</x:v>
      </x:c>
      <x:c r="B71" s="16" t="str">
        <x:v>Achats/prestataires</x:v>
      </x:c>
      <x:c r="C71" s="17" t="n">
        <x:v>42100</x:v>
      </x:c>
      <x:c r="D71" s="16" t="str">
        <x:v>Variable</x:v>
      </x:c>
      <x:c r="E71" s="16" t="str">
        <x:v>Pic activité fin d'année</x:v>
      </x:c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</x:row>
    <x:row r="72">
      <x:c r="A72" s="16" t="str">
        <x:v>Déc 2025</x:v>
      </x:c>
      <x:c r="B72" s="16" t="str">
        <x:v>Salaires</x:v>
      </x:c>
      <x:c r="C72" s="17" t="n">
        <x:v>47500</x:v>
      </x:c>
      <x:c r="D72" s="16" t="str">
        <x:v>Fixe</x:v>
      </x:c>
      <x:c r="E72" s="16" t="str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</x:row>
    <x:row r="73">
      <x:c r="A73" s="16" t="str">
        <x:v>Déc 2025</x:v>
      </x:c>
      <x:c r="B73" s="16" t="str">
        <x:v>Marketing</x:v>
      </x:c>
      <x:c r="C73" s="17" t="n">
        <x:v>15200</x:v>
      </x:c>
      <x:c r="D73" s="16" t="str">
        <x:v>Variable</x:v>
      </x:c>
      <x:c r="E73" s="16" t="str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</x:row>
    <x:row r="74">
      <x:c r="A74" s="16" t="str">
        <x:v>Déc 2025</x:v>
      </x:c>
      <x:c r="B74" s="16" t="str">
        <x:v>Loyer</x:v>
      </x:c>
      <x:c r="C74" s="17" t="n">
        <x:v>7300</x:v>
      </x:c>
      <x:c r="D74" s="16" t="str">
        <x:v>Fixe</x:v>
      </x:c>
      <x:c r="E74" s="16" t="str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</x:row>
    <x:row r="75">
      <x:c r="A75" s="16" t="str">
        <x:v>Déc 2025</x:v>
      </x:c>
      <x:c r="B75" s="16" t="str">
        <x:v>Logiciels</x:v>
      </x:c>
      <x:c r="C75" s="17" t="n">
        <x:v>4400</x:v>
      </x:c>
      <x:c r="D75" s="16" t="str">
        <x:v>Fixe</x:v>
      </x:c>
      <x:c r="E75" s="16" t="str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</x:row>
    <x:row r="76">
      <x:c r="A76" s="16" t="str">
        <x:v>Déc 2025</x:v>
      </x:c>
      <x:c r="B76" s="16" t="str">
        <x:v>Frais bancaires</x:v>
      </x:c>
      <x:c r="C76" s="17" t="n">
        <x:v>1510</x:v>
      </x:c>
      <x:c r="D76" s="16" t="str">
        <x:v>Variable</x:v>
      </x:c>
      <x:c r="E76" s="16" t="str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3"/>
      <x:c r="Q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13"/>
      <x:c r="Q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  <x:c r="P117" s="13"/>
      <x:c r="Q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  <x:c r="P126" s="13"/>
      <x:c r="Q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  <x:c r="P130" s="13"/>
      <x:c r="Q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  <x:c r="P132" s="13"/>
      <x:c r="Q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  <x:c r="P136" s="13"/>
      <x:c r="Q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  <x:c r="P137" s="13"/>
      <x:c r="Q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  <x:c r="P138" s="13"/>
      <x:c r="Q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  <x:c r="P140" s="13"/>
      <x:c r="Q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  <x:c r="P141" s="13"/>
      <x:c r="Q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  <x:c r="P142" s="13"/>
      <x:c r="Q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  <x:c r="P144" s="13"/>
      <x:c r="Q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  <x:c r="P145" s="13"/>
      <x:c r="Q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  <x:c r="P146" s="13"/>
      <x:c r="Q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  <x:c r="P147" s="13"/>
      <x:c r="Q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  <x:c r="P148" s="13"/>
      <x:c r="Q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  <x:c r="P149" s="13"/>
      <x:c r="Q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  <x:c r="P150" s="13"/>
      <x:c r="Q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  <x:c r="P151" s="13"/>
      <x:c r="Q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  <x:c r="P152" s="13"/>
      <x:c r="Q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  <x:c r="P153" s="13"/>
      <x:c r="Q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  <x:c r="P154" s="13"/>
      <x:c r="Q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  <x:c r="P155" s="13"/>
      <x:c r="Q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  <x:c r="P156" s="13"/>
      <x:c r="Q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  <x:c r="P157" s="13"/>
      <x:c r="Q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  <x:c r="P158" s="13"/>
      <x:c r="Q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  <x:c r="P159" s="13"/>
      <x:c r="Q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  <x:c r="P160" s="13"/>
      <x:c r="Q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  <x:c r="P161" s="13"/>
      <x:c r="Q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  <x:c r="P162" s="13"/>
      <x:c r="Q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  <x:c r="P164" s="13"/>
      <x:c r="Q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  <x:c r="P165" s="13"/>
      <x:c r="Q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  <x:c r="P166" s="13"/>
      <x:c r="Q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  <x:c r="P167" s="13"/>
      <x:c r="Q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  <x:c r="P168" s="13"/>
      <x:c r="Q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  <x:c r="P169" s="13"/>
      <x:c r="Q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  <x:c r="P170" s="13"/>
      <x:c r="Q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  <x:c r="P171" s="13"/>
      <x:c r="Q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  <x:c r="P172" s="13"/>
      <x:c r="Q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  <x:c r="P173" s="13"/>
      <x:c r="Q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  <x:c r="P174" s="13"/>
      <x:c r="Q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  <x:c r="P175" s="13"/>
      <x:c r="Q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  <x:c r="P176" s="13"/>
      <x:c r="Q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  <x:c r="P177" s="13"/>
      <x:c r="Q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  <x:c r="P178" s="13"/>
      <x:c r="Q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  <x:c r="P179" s="13"/>
      <x:c r="Q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  <x:c r="P180" s="13"/>
      <x:c r="Q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  <x:c r="P181" s="13"/>
      <x:c r="Q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  <x:c r="P182" s="13"/>
      <x:c r="Q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  <x:c r="P183" s="13"/>
      <x:c r="Q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  <x:c r="P184" s="13"/>
      <x:c r="Q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  <x:c r="P185" s="13"/>
      <x:c r="Q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  <x:c r="P186" s="13"/>
      <x:c r="Q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  <x:c r="P187" s="13"/>
      <x:c r="Q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13"/>
      <x:c r="Q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  <x:c r="P189" s="13"/>
      <x:c r="Q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  <x:c r="P190" s="13"/>
      <x:c r="Q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  <x:c r="P191" s="13"/>
      <x:c r="Q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  <x:c r="P192" s="13"/>
      <x:c r="Q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  <x:c r="P193" s="13"/>
      <x:c r="Q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  <x:c r="P194" s="13"/>
      <x:c r="Q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  <x:c r="P195" s="13"/>
      <x:c r="Q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  <x:c r="P196" s="13"/>
      <x:c r="Q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  <x:c r="P197" s="13"/>
      <x:c r="Q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  <x:c r="P198" s="13"/>
      <x:c r="Q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  <x:c r="P199" s="13"/>
      <x:c r="Q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  <x:c r="P200" s="13"/>
      <x:c r="Q200" s="13"/>
    </x:row>
  </x:sheetData>
  <x:pageMargins left="0.7" right="0.7" top="0.75" bottom="0.75" header="0.3" footer="0.3"/>
  <x:tableParts count="1">
    <x:tablePart xmlns:r="http://schemas.openxmlformats.org/officeDocument/2006/relationships" r:id="R602972b702d0434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2" hidden="0" customWidth="1"/>
    <x:col min="4" max="4" width="32" hidden="0" customWidth="1"/>
  </x:cols>
  <x:sheetData>
    <x:row r="1" ht="24" customHeight="1">
      <x:c r="A1" s="12" t="str">
        <x:v>Hypothèses et contexte</x:v>
      </x:c>
      <x:c r="B1" s="12" t="str"/>
      <x:c r="C1" s="12" t="str"/>
      <x:c r="D1" s="12" t="str"/>
      <x:c r="E1" s="12" t="str"/>
      <x:c r="F1" s="12" t="str"/>
      <x:c r="G1" s="12" t="str"/>
      <x:c r="H1" s="12" t="str"/>
      <x:c r="I1" s="13"/>
      <x:c r="J1" s="13"/>
      <x:c r="K1" s="13"/>
      <x:c r="L1" s="13"/>
      <x:c r="M1" s="13"/>
      <x:c r="N1" s="13"/>
      <x:c r="O1" s="13"/>
      <x:c r="P1" s="13"/>
      <x:c r="Q1" s="13"/>
    </x:row>
    <x:row r="2" ht="20" customHeight="1">
      <x:c r="A2" s="14" t="str">
        <x:v>Toutes les données sont fictives et destinées à tester un prompt d’analyse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3"/>
      <x:c r="J2" s="13"/>
      <x:c r="K2" s="13"/>
      <x:c r="L2" s="13"/>
      <x:c r="M2" s="13"/>
      <x:c r="N2" s="13"/>
      <x:c r="O2" s="13"/>
      <x:c r="P2" s="13"/>
      <x:c r="Q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</x:row>
    <x:row r="4">
      <x:c r="A4" s="15" t="str">
        <x:v>Élément</x:v>
      </x:c>
      <x:c r="B4" s="15" t="str">
        <x:v>Valeur</x:v>
      </x:c>
      <x:c r="C4" s="15" t="str">
        <x:v>Impact pour l’analyse</x:v>
      </x:c>
      <x:c r="D4" s="15" t="str">
        <x:v>Note</x:v>
      </x:c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</x:row>
    <x:row r="5">
      <x:c r="A5" s="16" t="str">
        <x:v>Devise</x:v>
      </x:c>
      <x:c r="B5" s="16" t="str">
        <x:v>EUR</x:v>
      </x:c>
      <x:c r="C5" s="16" t="str">
        <x:v>Tous les montants sont en euros</x:v>
      </x:c>
      <x:c r="D5" s="16" t="str">
        <x:v>Fictif</x:v>
      </x:c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</x:row>
    <x:row r="6">
      <x:c r="A6" s="16" t="str">
        <x:v>Période</x:v>
      </x:c>
      <x:c r="B6" s="16" t="str">
        <x:v>Janvier à décembre 2025</x:v>
      </x:c>
      <x:c r="C6" s="16" t="str">
        <x:v>Analyse mensuelle sur 12 mois</x:v>
      </x:c>
      <x:c r="D6" s="16" t="str">
        <x:v>Année complète</x:v>
      </x:c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</x:row>
    <x:row r="7">
      <x:c r="A7" s="16" t="str">
        <x:v>TVA</x:v>
      </x:c>
      <x:c r="B7" s="16" t="str">
        <x:v>Non modélisée</x:v>
      </x:c>
      <x:c r="C7" s="16" t="str">
        <x:v>Les montants sont supposés hors taxes</x:v>
      </x:c>
      <x:c r="D7" s="16" t="str">
        <x:v>Simplification volontaire</x:v>
      </x:c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</x:row>
    <x:row r="8">
      <x:c r="A8" s="16" t="str">
        <x:v>Impôt estimé</x:v>
      </x:c>
      <x:c r="B8" s="16" t="str">
        <x:v>20% du résultat opérationnel positif</x:v>
      </x:c>
      <x:c r="C8" s="16" t="str">
        <x:v>Calcul indicatif, non fiscal</x:v>
      </x:c>
      <x:c r="D8" s="16" t="str">
        <x:v>Formule visible en compte de résultat</x:v>
      </x:c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</x:row>
    <x:row r="9">
      <x:c r="A9" s="16" t="str">
        <x:v>Anomalie volontaire 1</x:v>
      </x:c>
      <x:c r="B9" s="16" t="str">
        <x:v>Marketing élevé en juin</x:v>
      </x:c>
      <x:c r="C9" s="16" t="str">
        <x:v>Doit être détecté comme valeur atypique</x:v>
      </x:c>
      <x:c r="D9" s="16" t="str">
        <x:v>Campagne exceptionnelle</x:v>
      </x:c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</x:row>
    <x:row r="10">
      <x:c r="A10" s="16" t="str">
        <x:v>Anomalie volontaire 2</x:v>
      </x:c>
      <x:c r="B10" s="16" t="str">
        <x:v>Août faible</x:v>
      </x:c>
      <x:c r="C10" s="16" t="str">
        <x:v>Doit être identifié comme saisonnalité</x:v>
      </x:c>
      <x:c r="D10" s="16" t="str">
        <x:v>Creux estival</x:v>
      </x:c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</x:row>
    <x:row r="11">
      <x:c r="A11" s="16" t="str">
        <x:v>Anomalie volontaire 3</x:v>
      </x:c>
      <x:c r="B11" s="16" t="str">
        <x:v>Encaissements retardés en septembre</x:v>
      </x:c>
      <x:c r="C11" s="16" t="str">
        <x:v>Doit être repéré dans la trésorerie</x:v>
      </x:c>
      <x:c r="D11" s="16" t="str">
        <x:v>Rattrapage en octobre</x:v>
      </x:c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</x:row>
    <x:row r="12">
      <x:c r="A12" s="16" t="str">
        <x:v>Source</x:v>
      </x:c>
      <x:c r="B12" s="16" t="str">
        <x:v>Données fictives générées pour formation</x:v>
      </x:c>
      <x:c r="C12" s="16" t="str">
        <x:v>Aucune donnée réelle</x:v>
      </x:c>
      <x:c r="D12" s="16" t="str">
        <x:v>Utilisable publiquement</x:v>
      </x:c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3"/>
      <x:c r="Q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13"/>
      <x:c r="Q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  <x:c r="P117" s="13"/>
      <x:c r="Q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  <x:c r="P126" s="13"/>
      <x:c r="Q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  <x:c r="P130" s="13"/>
      <x:c r="Q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  <x:c r="P132" s="13"/>
      <x:c r="Q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  <x:c r="P136" s="13"/>
      <x:c r="Q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  <x:c r="P137" s="13"/>
      <x:c r="Q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  <x:c r="P138" s="13"/>
      <x:c r="Q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  <x:c r="P140" s="13"/>
      <x:c r="Q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  <x:c r="P141" s="13"/>
      <x:c r="Q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  <x:c r="P142" s="13"/>
      <x:c r="Q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  <x:c r="P144" s="13"/>
      <x:c r="Q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  <x:c r="P145" s="13"/>
      <x:c r="Q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  <x:c r="P146" s="13"/>
      <x:c r="Q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  <x:c r="P147" s="13"/>
      <x:c r="Q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  <x:c r="P148" s="13"/>
      <x:c r="Q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  <x:c r="P149" s="13"/>
      <x:c r="Q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  <x:c r="P150" s="13"/>
      <x:c r="Q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  <x:c r="P151" s="13"/>
      <x:c r="Q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  <x:c r="P152" s="13"/>
      <x:c r="Q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  <x:c r="P153" s="13"/>
      <x:c r="Q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  <x:c r="P154" s="13"/>
      <x:c r="Q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  <x:c r="P155" s="13"/>
      <x:c r="Q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  <x:c r="P156" s="13"/>
      <x:c r="Q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  <x:c r="P157" s="13"/>
      <x:c r="Q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  <x:c r="P158" s="13"/>
      <x:c r="Q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  <x:c r="P159" s="13"/>
      <x:c r="Q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  <x:c r="P160" s="13"/>
      <x:c r="Q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  <x:c r="P161" s="13"/>
      <x:c r="Q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  <x:c r="P162" s="13"/>
      <x:c r="Q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  <x:c r="P164" s="13"/>
      <x:c r="Q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  <x:c r="P165" s="13"/>
      <x:c r="Q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  <x:c r="P166" s="13"/>
      <x:c r="Q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  <x:c r="P167" s="13"/>
      <x:c r="Q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  <x:c r="P168" s="13"/>
      <x:c r="Q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  <x:c r="P169" s="13"/>
      <x:c r="Q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  <x:c r="P170" s="13"/>
      <x:c r="Q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  <x:c r="P171" s="13"/>
      <x:c r="Q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  <x:c r="P172" s="13"/>
      <x:c r="Q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  <x:c r="P173" s="13"/>
      <x:c r="Q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  <x:c r="P174" s="13"/>
      <x:c r="Q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  <x:c r="P175" s="13"/>
      <x:c r="Q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  <x:c r="P176" s="13"/>
      <x:c r="Q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  <x:c r="P177" s="13"/>
      <x:c r="Q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  <x:c r="P178" s="13"/>
      <x:c r="Q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  <x:c r="P179" s="13"/>
      <x:c r="Q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  <x:c r="P180" s="13"/>
      <x:c r="Q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  <x:c r="P181" s="13"/>
      <x:c r="Q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  <x:c r="P182" s="13"/>
      <x:c r="Q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  <x:c r="P183" s="13"/>
      <x:c r="Q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  <x:c r="P184" s="13"/>
      <x:c r="Q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  <x:c r="P185" s="13"/>
      <x:c r="Q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  <x:c r="P186" s="13"/>
      <x:c r="Q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  <x:c r="P187" s="13"/>
      <x:c r="Q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13"/>
      <x:c r="Q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  <x:c r="P189" s="13"/>
      <x:c r="Q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  <x:c r="P190" s="13"/>
      <x:c r="Q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  <x:c r="P191" s="13"/>
      <x:c r="Q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  <x:c r="P192" s="13"/>
      <x:c r="Q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  <x:c r="P193" s="13"/>
      <x:c r="Q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  <x:c r="P194" s="13"/>
      <x:c r="Q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  <x:c r="P195" s="13"/>
      <x:c r="Q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  <x:c r="P196" s="13"/>
      <x:c r="Q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  <x:c r="P197" s="13"/>
      <x:c r="Q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  <x:c r="P198" s="13"/>
      <x:c r="Q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  <x:c r="P199" s="13"/>
      <x:c r="Q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  <x:c r="P200" s="13"/>
      <x:c r="Q200" s="1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14" hidden="0" customWidth="1"/>
    <x:col min="5" max="5" width="18" hidden="0" customWidth="1"/>
    <x:col min="6" max="6" width="40" hidden="0" customWidth="1"/>
  </x:cols>
  <x:sheetData>
    <x:row r="1" ht="24" customHeight="1">
      <x:c r="A1" s="12" t="str">
        <x:v>Contrôles de cohérence</x:v>
      </x:c>
      <x:c r="B1" s="12" t="str"/>
      <x:c r="C1" s="12" t="str"/>
      <x:c r="D1" s="12" t="str"/>
      <x:c r="E1" s="12" t="str"/>
      <x:c r="F1" s="12" t="str"/>
      <x:c r="G1" s="12" t="str"/>
      <x:c r="H1" s="12" t="str"/>
      <x:c r="I1" s="13"/>
      <x:c r="J1" s="13"/>
      <x:c r="K1" s="13"/>
      <x:c r="L1" s="13"/>
      <x:c r="M1" s="13"/>
      <x:c r="N1" s="13"/>
      <x:c r="O1" s="13"/>
      <x:c r="P1" s="13"/>
      <x:c r="Q1" s="13"/>
    </x:row>
    <x:row r="2" ht="20" customHeight="1">
      <x:c r="A2" s="14" t="str">
        <x:v>Formules de validation pour vérifier les totaux, les écarts et les anomalies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3"/>
      <x:c r="J2" s="13"/>
      <x:c r="K2" s="13"/>
      <x:c r="L2" s="13"/>
      <x:c r="M2" s="13"/>
      <x:c r="N2" s="13"/>
      <x:c r="O2" s="13"/>
      <x:c r="P2" s="13"/>
      <x:c r="Q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</x:row>
    <x:row r="4">
      <x:c r="A4" s="15" t="str">
        <x:v>Mois</x:v>
      </x:c>
      <x:c r="B4" s="15" t="str">
        <x:v>Charges détaillées</x:v>
      </x:c>
      <x:c r="C4" s="15" t="str">
        <x:v>Charges compte résultat</x:v>
      </x:c>
      <x:c r="D4" s="15" t="str">
        <x:v>Écart</x:v>
      </x:c>
      <x:c r="E4" s="15" t="str">
        <x:v>Statut</x:v>
      </x:c>
      <x:c r="F4" s="15" t="str">
        <x:v>Commentaire</x:v>
      </x:c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</x:row>
    <x:row r="5">
      <x:c r="A5" s="16" t="str">
        <x:v>Jan 2025</x:v>
      </x:c>
      <x:c r="B5" s="17" t="n">
        <x:f>SUMIFS(Charges_Detail!$C:$C,Charges_Detail!$A:$A,A5)</x:f>
        <x:v>86350</x:v>
      </x:c>
      <x:c r="C5" s="17" t="n">
        <x:f>Compte_Resultat!L5</x:f>
        <x:v>86350</x:v>
      </x:c>
      <x:c r="D5" s="17" t="n">
        <x:f>B5-C5</x:f>
        <x:v>0</x:v>
      </x:c>
      <x:c r="E5" s="16" t="str">
        <x:f>IF(ABS(D5)&lt;1,"OK","Écart à vérifier")</x:f>
        <x:v>OK</x:v>
      </x:c>
      <x:c r="F5" s="16" t="str">
        <x:f>IF(E5="OK","Totaux cohérents","Contrôler la ventilation par catégorie")</x:f>
        <x:v>Totaux cohérents</x:v>
      </x:c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</x:row>
    <x:row r="6">
      <x:c r="A6" s="16" t="str">
        <x:v>Fév 2025</x:v>
      </x:c>
      <x:c r="B6" s="17" t="n">
        <x:f>SUMIFS(Charges_Detail!$C:$C,Charges_Detail!$A:$A,A6)</x:f>
        <x:v>86860</x:v>
      </x:c>
      <x:c r="C6" s="17" t="n">
        <x:f>Compte_Resultat!L6</x:f>
        <x:v>86860</x:v>
      </x:c>
      <x:c r="D6" s="17" t="n">
        <x:f>B6-C6</x:f>
        <x:v>0</x:v>
      </x:c>
      <x:c r="E6" s="16" t="str">
        <x:f>IF(ABS(D6)&lt;1,"OK","Écart à vérifier")</x:f>
        <x:v>OK</x:v>
      </x:c>
      <x:c r="F6" s="16" t="str">
        <x:f>IF(E6="OK","Totaux cohérents","Contrôler la ventilation par catégorie")</x:f>
        <x:v>Totaux cohérents</x:v>
      </x:c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</x:row>
    <x:row r="7">
      <x:c r="A7" s="16" t="str">
        <x:v>Mar 2025</x:v>
      </x:c>
      <x:c r="B7" s="17" t="n">
        <x:f>SUMIFS(Charges_Detail!$C:$C,Charges_Detail!$A:$A,A7)</x:f>
        <x:v>90880</x:v>
      </x:c>
      <x:c r="C7" s="17" t="n">
        <x:f>Compte_Resultat!L7</x:f>
        <x:v>90880</x:v>
      </x:c>
      <x:c r="D7" s="17" t="n">
        <x:f>B7-C7</x:f>
        <x:v>0</x:v>
      </x:c>
      <x:c r="E7" s="16" t="str">
        <x:f>IF(ABS(D7)&lt;1,"OK","Écart à vérifier")</x:f>
        <x:v>OK</x:v>
      </x:c>
      <x:c r="F7" s="16" t="str">
        <x:f>IF(E7="OK","Totaux cohérents","Contrôler la ventilation par catégorie")</x:f>
        <x:v>Totaux cohérents</x:v>
      </x:c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</x:row>
    <x:row r="8">
      <x:c r="A8" s="16" t="str">
        <x:v>Avr 2025</x:v>
      </x:c>
      <x:c r="B8" s="17" t="n">
        <x:f>SUMIFS(Charges_Detail!$C:$C,Charges_Detail!$A:$A,A8)</x:f>
        <x:v>87430</x:v>
      </x:c>
      <x:c r="C8" s="17" t="n">
        <x:f>Compte_Resultat!L8</x:f>
        <x:v>87430</x:v>
      </x:c>
      <x:c r="D8" s="17" t="n">
        <x:f>B8-C8</x:f>
        <x:v>0</x:v>
      </x:c>
      <x:c r="E8" s="16" t="str">
        <x:f>IF(ABS(D8)&lt;1,"OK","Écart à vérifier")</x:f>
        <x:v>OK</x:v>
      </x:c>
      <x:c r="F8" s="16" t="str">
        <x:f>IF(E8="OK","Totaux cohérents","Contrôler la ventilation par catégorie")</x:f>
        <x:v>Totaux cohérents</x:v>
      </x:c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</x:row>
    <x:row r="9">
      <x:c r="A9" s="16" t="str">
        <x:v>Mai 2025</x:v>
      </x:c>
      <x:c r="B9" s="17" t="n">
        <x:f>SUMIFS(Charges_Detail!$C:$C,Charges_Detail!$A:$A,A9)</x:f>
        <x:v>94860</x:v>
      </x:c>
      <x:c r="C9" s="17" t="n">
        <x:f>Compte_Resultat!L9</x:f>
        <x:v>94860</x:v>
      </x:c>
      <x:c r="D9" s="17" t="n">
        <x:f>B9-C9</x:f>
        <x:v>0</x:v>
      </x:c>
      <x:c r="E9" s="16" t="str">
        <x:f>IF(ABS(D9)&lt;1,"OK","Écart à vérifier")</x:f>
        <x:v>OK</x:v>
      </x:c>
      <x:c r="F9" s="16" t="str">
        <x:f>IF(E9="OK","Totaux cohérents","Contrôler la ventilation par catégorie")</x:f>
        <x:v>Totaux cohérents</x:v>
      </x:c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</x:row>
    <x:row r="10">
      <x:c r="A10" s="16" t="str">
        <x:v>Juin 2025</x:v>
      </x:c>
      <x:c r="B10" s="17" t="n">
        <x:f>SUMIFS(Charges_Detail!$C:$C,Charges_Detail!$A:$A,A10)</x:f>
        <x:v>112380</x:v>
      </x:c>
      <x:c r="C10" s="17" t="n">
        <x:f>Compte_Resultat!L10</x:f>
        <x:v>112380</x:v>
      </x:c>
      <x:c r="D10" s="17" t="n">
        <x:f>B10-C10</x:f>
        <x:v>0</x:v>
      </x:c>
      <x:c r="E10" s="16" t="str">
        <x:f>IF(ABS(D10)&lt;1,"OK","Écart à vérifier")</x:f>
        <x:v>OK</x:v>
      </x:c>
      <x:c r="F10" s="16" t="str">
        <x:f>IF(E10="OK","Totaux cohérents","Contrôler la ventilation par catégorie")</x:f>
        <x:v>Totaux cohérents</x:v>
      </x:c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</x:row>
    <x:row r="11">
      <x:c r="A11" s="16" t="str">
        <x:v>Juil 2025</x:v>
      </x:c>
      <x:c r="B11" s="17" t="n">
        <x:f>SUMIFS(Charges_Detail!$C:$C,Charges_Detail!$A:$A,A11)</x:f>
        <x:v>98110</x:v>
      </x:c>
      <x:c r="C11" s="17" t="n">
        <x:f>Compte_Resultat!L11</x:f>
        <x:v>98110</x:v>
      </x:c>
      <x:c r="D11" s="17" t="n">
        <x:f>B11-C11</x:f>
        <x:v>0</x:v>
      </x:c>
      <x:c r="E11" s="16" t="str">
        <x:f>IF(ABS(D11)&lt;1,"OK","Écart à vérifier")</x:f>
        <x:v>OK</x:v>
      </x:c>
      <x:c r="F11" s="16" t="str">
        <x:f>IF(E11="OK","Totaux cohérents","Contrôler la ventilation par catégorie")</x:f>
        <x:v>Totaux cohérents</x:v>
      </x:c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</x:row>
    <x:row r="12">
      <x:c r="A12" s="16" t="str">
        <x:v>Août 2025</x:v>
      </x:c>
      <x:c r="B12" s="17" t="n">
        <x:f>SUMIFS(Charges_Detail!$C:$C,Charges_Detail!$A:$A,A12)</x:f>
        <x:v>84140</x:v>
      </x:c>
      <x:c r="C12" s="17" t="n">
        <x:f>Compte_Resultat!L12</x:f>
        <x:v>84140</x:v>
      </x:c>
      <x:c r="D12" s="17" t="n">
        <x:f>B12-C12</x:f>
        <x:v>0</x:v>
      </x:c>
      <x:c r="E12" s="16" t="str">
        <x:f>IF(ABS(D12)&lt;1,"OK","Écart à vérifier")</x:f>
        <x:v>OK</x:v>
      </x:c>
      <x:c r="F12" s="16" t="str">
        <x:f>IF(E12="OK","Totaux cohérents","Contrôler la ventilation par catégorie")</x:f>
        <x:v>Totaux cohérents</x:v>
      </x:c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</x:row>
    <x:row r="13">
      <x:c r="A13" s="16" t="str">
        <x:v>Sep 2025</x:v>
      </x:c>
      <x:c r="B13" s="17" t="n">
        <x:f>SUMIFS(Charges_Detail!$C:$C,Charges_Detail!$A:$A,A13)</x:f>
        <x:v>105140</x:v>
      </x:c>
      <x:c r="C13" s="17" t="n">
        <x:f>Compte_Resultat!L13</x:f>
        <x:v>105140</x:v>
      </x:c>
      <x:c r="D13" s="17" t="n">
        <x:f>B13-C13</x:f>
        <x:v>0</x:v>
      </x:c>
      <x:c r="E13" s="16" t="str">
        <x:f>IF(ABS(D13)&lt;1,"OK","Écart à vérifier")</x:f>
        <x:v>OK</x:v>
      </x:c>
      <x:c r="F13" s="16" t="str">
        <x:f>IF(E13="OK","Totaux cohérents","Contrôler la ventilation par catégorie")</x:f>
        <x:v>Totaux cohérents</x:v>
      </x:c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</x:row>
    <x:row r="14">
      <x:c r="A14" s="16" t="str">
        <x:v>Oct 2025</x:v>
      </x:c>
      <x:c r="B14" s="17" t="n">
        <x:f>SUMIFS(Charges_Detail!$C:$C,Charges_Detail!$A:$A,A14)</x:f>
        <x:v>109420</x:v>
      </x:c>
      <x:c r="C14" s="17" t="n">
        <x:f>Compte_Resultat!L14</x:f>
        <x:v>109420</x:v>
      </x:c>
      <x:c r="D14" s="17" t="n">
        <x:f>B14-C14</x:f>
        <x:v>0</x:v>
      </x:c>
      <x:c r="E14" s="16" t="str">
        <x:f>IF(ABS(D14)&lt;1,"OK","Écart à vérifier")</x:f>
        <x:v>OK</x:v>
      </x:c>
      <x:c r="F14" s="16" t="str">
        <x:f>IF(E14="OK","Totaux cohérents","Contrôler la ventilation par catégorie")</x:f>
        <x:v>Totaux cohérents</x:v>
      </x:c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</x:row>
    <x:row r="15">
      <x:c r="A15" s="16" t="str">
        <x:v>Nov 2025</x:v>
      </x:c>
      <x:c r="B15" s="17" t="n">
        <x:f>SUMIFS(Charges_Detail!$C:$C,Charges_Detail!$A:$A,A15)</x:f>
        <x:v>114620</x:v>
      </x:c>
      <x:c r="C15" s="17" t="n">
        <x:f>Compte_Resultat!L15</x:f>
        <x:v>114620</x:v>
      </x:c>
      <x:c r="D15" s="17" t="n">
        <x:f>B15-C15</x:f>
        <x:v>0</x:v>
      </x:c>
      <x:c r="E15" s="16" t="str">
        <x:f>IF(ABS(D15)&lt;1,"OK","Écart à vérifier")</x:f>
        <x:v>OK</x:v>
      </x:c>
      <x:c r="F15" s="16" t="str">
        <x:f>IF(E15="OK","Totaux cohérents","Contrôler la ventilation par catégorie")</x:f>
        <x:v>Totaux cohérents</x:v>
      </x:c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</x:row>
    <x:row r="16">
      <x:c r="A16" s="16" t="str">
        <x:v>Déc 2025</x:v>
      </x:c>
      <x:c r="B16" s="17" t="n">
        <x:f>SUMIFS(Charges_Detail!$C:$C,Charges_Detail!$A:$A,A16)</x:f>
        <x:v>118010</x:v>
      </x:c>
      <x:c r="C16" s="17" t="n">
        <x:f>Compte_Resultat!L16</x:f>
        <x:v>118010</x:v>
      </x:c>
      <x:c r="D16" s="17" t="n">
        <x:f>B16-C16</x:f>
        <x:v>0</x:v>
      </x:c>
      <x:c r="E16" s="16" t="str">
        <x:f>IF(ABS(D16)&lt;1,"OK","Écart à vérifier")</x:f>
        <x:v>OK</x:v>
      </x:c>
      <x:c r="F16" s="16" t="str">
        <x:f>IF(E16="OK","Totaux cohérents","Contrôler la ventilation par catégorie")</x:f>
        <x:v>Totaux cohérents</x:v>
      </x:c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</x:row>
    <x:row r="19">
      <x:c r="A19" s="15" t="str">
        <x:v>Contrôle global</x:v>
      </x:c>
      <x:c r="B19" s="15" t="str">
        <x:v>Valeur</x:v>
      </x:c>
      <x:c r="C19" s="15" t="str">
        <x:v>Statut</x:v>
      </x:c>
      <x:c r="D19" s="15" t="str">
        <x:v>Note</x:v>
      </x:c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</x:row>
    <x:row r="20">
      <x:c r="A20" s="16" t="str">
        <x:v>Nombre de mois</x:v>
      </x:c>
      <x:c r="B20" s="16" t="n">
        <x:f>COUNTA(Compte_Resultat!A5:A16)</x:f>
        <x:v>12</x:v>
      </x:c>
      <x:c r="C20" s="16" t="str">
        <x:f>IF(B20=12,"OK","Mois manquant")</x:f>
        <x:v>OK</x:v>
      </x:c>
      <x:c r="D20" s="16" t="str">
        <x:v>Doit être égal à 12</x:v>
      </x:c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</x:row>
    <x:row r="21">
      <x:c r="A21" s="16" t="str">
        <x:v>Résultat net annuel</x:v>
      </x:c>
      <x:c r="B21" s="17" t="n">
        <x:f>SUM(Compte_Resultat!P5:P16)</x:f>
        <x:v>286320</x:v>
      </x:c>
      <x:c r="C21" s="16" t="str">
        <x:f>IF(B21&gt;0,"OK","Résultat annuel négatif")</x:f>
        <x:v>OK</x:v>
      </x:c>
      <x:c r="D21" s="16" t="str">
        <x:v>Somme du compte de résultat</x:v>
      </x:c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</x:row>
    <x:row r="22">
      <x:c r="A22" s="16" t="str">
        <x:v>Mois avec marge négative</x:v>
      </x:c>
      <x:c r="B22" s="16" t="n">
        <x:f>COUNTIF(Compte_Resultat!N5:N16,"&lt;0")</x:f>
        <x:v>0</x:v>
      </x:c>
      <x:c r="C22" s="16" t="str">
        <x:f>IF(B22=0,"OK","Marge négative à analyser")</x:f>
        <x:v>OK</x:v>
      </x:c>
      <x:c r="D22" s="16" t="str">
        <x:v>Signal d’alerte</x:v>
      </x:c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</x:row>
    <x:row r="23">
      <x:c r="A23" s="16" t="str">
        <x:v>Statut du modèle</x:v>
      </x:c>
      <x:c r="B23" s="16" t="n">
        <x:f>COUNTIF(E5:E16,"OK")</x:f>
        <x:v>12</x:v>
      </x:c>
      <x:c r="C23" s="16" t="str">
        <x:f>IF(AND(B23=12,C20="OK"),"OK","Contrôles à vérifier")</x:f>
        <x:v>OK</x:v>
      </x:c>
      <x:c r="D23" s="16" t="str">
        <x:v>Agrégation des contrôles</x:v>
      </x:c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3"/>
      <x:c r="Q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13"/>
      <x:c r="Q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  <x:c r="P117" s="13"/>
      <x:c r="Q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  <x:c r="P126" s="13"/>
      <x:c r="Q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  <x:c r="P130" s="13"/>
      <x:c r="Q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  <x:c r="P132" s="13"/>
      <x:c r="Q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  <x:c r="P136" s="13"/>
      <x:c r="Q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  <x:c r="P137" s="13"/>
      <x:c r="Q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  <x:c r="P138" s="13"/>
      <x:c r="Q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  <x:c r="P140" s="13"/>
      <x:c r="Q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  <x:c r="P141" s="13"/>
      <x:c r="Q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  <x:c r="P142" s="13"/>
      <x:c r="Q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  <x:c r="P144" s="13"/>
      <x:c r="Q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  <x:c r="P145" s="13"/>
      <x:c r="Q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  <x:c r="P146" s="13"/>
      <x:c r="Q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  <x:c r="P147" s="13"/>
      <x:c r="Q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  <x:c r="P148" s="13"/>
      <x:c r="Q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  <x:c r="P149" s="13"/>
      <x:c r="Q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  <x:c r="P150" s="13"/>
      <x:c r="Q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  <x:c r="P151" s="13"/>
      <x:c r="Q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  <x:c r="P152" s="13"/>
      <x:c r="Q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  <x:c r="P153" s="13"/>
      <x:c r="Q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  <x:c r="P154" s="13"/>
      <x:c r="Q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  <x:c r="P155" s="13"/>
      <x:c r="Q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  <x:c r="P156" s="13"/>
      <x:c r="Q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  <x:c r="P157" s="13"/>
      <x:c r="Q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  <x:c r="P158" s="13"/>
      <x:c r="Q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  <x:c r="P159" s="13"/>
      <x:c r="Q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  <x:c r="P160" s="13"/>
      <x:c r="Q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  <x:c r="P161" s="13"/>
      <x:c r="Q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  <x:c r="P162" s="13"/>
      <x:c r="Q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  <x:c r="P164" s="13"/>
      <x:c r="Q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  <x:c r="P165" s="13"/>
      <x:c r="Q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  <x:c r="P166" s="13"/>
      <x:c r="Q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  <x:c r="P167" s="13"/>
      <x:c r="Q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  <x:c r="P168" s="13"/>
      <x:c r="Q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  <x:c r="P169" s="13"/>
      <x:c r="Q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  <x:c r="P170" s="13"/>
      <x:c r="Q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  <x:c r="P171" s="13"/>
      <x:c r="Q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  <x:c r="P172" s="13"/>
      <x:c r="Q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  <x:c r="P173" s="13"/>
      <x:c r="Q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  <x:c r="P174" s="13"/>
      <x:c r="Q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  <x:c r="P175" s="13"/>
      <x:c r="Q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  <x:c r="P176" s="13"/>
      <x:c r="Q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  <x:c r="P177" s="13"/>
      <x:c r="Q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  <x:c r="P178" s="13"/>
      <x:c r="Q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  <x:c r="P179" s="13"/>
      <x:c r="Q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  <x:c r="P180" s="13"/>
      <x:c r="Q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  <x:c r="P181" s="13"/>
      <x:c r="Q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  <x:c r="P182" s="13"/>
      <x:c r="Q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  <x:c r="P183" s="13"/>
      <x:c r="Q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  <x:c r="P184" s="13"/>
      <x:c r="Q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  <x:c r="P185" s="13"/>
      <x:c r="Q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  <x:c r="P186" s="13"/>
      <x:c r="Q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  <x:c r="P187" s="13"/>
      <x:c r="Q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13"/>
      <x:c r="Q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  <x:c r="P189" s="13"/>
      <x:c r="Q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  <x:c r="P190" s="13"/>
      <x:c r="Q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  <x:c r="P191" s="13"/>
      <x:c r="Q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  <x:c r="P192" s="13"/>
      <x:c r="Q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  <x:c r="P193" s="13"/>
      <x:c r="Q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  <x:c r="P194" s="13"/>
      <x:c r="Q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  <x:c r="P195" s="13"/>
      <x:c r="Q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  <x:c r="P196" s="13"/>
      <x:c r="Q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  <x:c r="P197" s="13"/>
      <x:c r="Q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  <x:c r="P198" s="13"/>
      <x:c r="Q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  <x:c r="P199" s="13"/>
      <x:c r="Q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  <x:c r="P200" s="13"/>
      <x:c r="Q200" s="13"/>
    </x:row>
  </x:sheetData>
  <x:pageMargins left="0.7" right="0.7" top="0.75" bottom="0.75" header="0.3" footer="0.3"/>
</x:worksheet>
</file>